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KiCad\desings\Printer Mainboard\"/>
    </mc:Choice>
  </mc:AlternateContent>
  <xr:revisionPtr revIDLastSave="0" documentId="13_ncr:1_{E804D529-9A64-408A-9F23-033E70820DAF}" xr6:coauthVersionLast="47" xr6:coauthVersionMax="47" xr10:uidLastSave="{00000000-0000-0000-0000-000000000000}"/>
  <bookViews>
    <workbookView xWindow="-28920" yWindow="5235" windowWidth="29040" windowHeight="15720" xr2:uid="{A023A23C-0FDA-4B2C-91C3-24AB59535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" i="1" l="1"/>
  <c r="AE10" i="1" s="1"/>
  <c r="AC8" i="1"/>
  <c r="AE8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2" i="1"/>
  <c r="B95" i="1"/>
  <c r="AC7" i="1"/>
  <c r="AE7" i="1" s="1"/>
  <c r="AC9" i="1"/>
  <c r="AE9" i="1" s="1"/>
  <c r="AC4" i="1"/>
  <c r="AE4" i="1" s="1"/>
  <c r="AC5" i="1"/>
  <c r="AE5" i="1" s="1"/>
  <c r="AC6" i="1"/>
  <c r="AE6" i="1" s="1"/>
  <c r="AC3" i="1"/>
  <c r="AE3" i="1" s="1"/>
  <c r="M87" i="1"/>
</calcChain>
</file>

<file path=xl/sharedStrings.xml><?xml version="1.0" encoding="utf-8"?>
<sst xmlns="http://schemas.openxmlformats.org/spreadsheetml/2006/main" count="500" uniqueCount="436">
  <si>
    <t>LCSC number</t>
  </si>
  <si>
    <t>Led Blue</t>
  </si>
  <si>
    <t>component</t>
  </si>
  <si>
    <t>Led Green</t>
  </si>
  <si>
    <t>Part</t>
  </si>
  <si>
    <t>Order</t>
  </si>
  <si>
    <t>SMBJ64A</t>
  </si>
  <si>
    <t>C19077594</t>
  </si>
  <si>
    <t>Diode</t>
  </si>
  <si>
    <t>1N5819WS</t>
  </si>
  <si>
    <t>C191023</t>
  </si>
  <si>
    <t>1N4148WT</t>
  </si>
  <si>
    <t>C917006</t>
  </si>
  <si>
    <t>IHLP4040DZER6R8M01</t>
  </si>
  <si>
    <t>C845080</t>
  </si>
  <si>
    <t>BC817-40,215</t>
  </si>
  <si>
    <t>C52801</t>
  </si>
  <si>
    <t>BAT54KFILM</t>
  </si>
  <si>
    <t>C283259</t>
  </si>
  <si>
    <t>USB-302-T</t>
  </si>
  <si>
    <t>C112456</t>
  </si>
  <si>
    <t>USB_A</t>
  </si>
  <si>
    <t>NE555DR</t>
  </si>
  <si>
    <t>C7593</t>
  </si>
  <si>
    <t>STMPS2141STR</t>
  </si>
  <si>
    <t>C54624</t>
  </si>
  <si>
    <t>STM32F407VGT6</t>
  </si>
  <si>
    <t>C12345</t>
  </si>
  <si>
    <t>Total Price</t>
  </si>
  <si>
    <t>TMC2130-TA-T</t>
  </si>
  <si>
    <t>C328952</t>
  </si>
  <si>
    <t>Microcontroller</t>
  </si>
  <si>
    <t>Stepper Motor Drivers</t>
  </si>
  <si>
    <t>USB_A_PWR Regulator</t>
  </si>
  <si>
    <t>3.3V Regulator</t>
  </si>
  <si>
    <t>AP7361C-33E-13</t>
  </si>
  <si>
    <t>C500795</t>
  </si>
  <si>
    <t>Level Shifter</t>
  </si>
  <si>
    <t>TC4427EOA</t>
  </si>
  <si>
    <t>C636891</t>
  </si>
  <si>
    <t>Gate Driver</t>
  </si>
  <si>
    <t>USB_A Protection</t>
  </si>
  <si>
    <t>USBLC6-2SC6</t>
  </si>
  <si>
    <t>C7519</t>
  </si>
  <si>
    <t>NX3225GA-25.000M-STD-CRG-2</t>
  </si>
  <si>
    <t>C1985619</t>
  </si>
  <si>
    <t>25MHz Crystal</t>
  </si>
  <si>
    <t>Mosfet</t>
  </si>
  <si>
    <t>NVMFWS4D5N08XT1G</t>
  </si>
  <si>
    <t>C29841638</t>
  </si>
  <si>
    <t>RVT1J101M1010</t>
  </si>
  <si>
    <t>B3F-3120</t>
  </si>
  <si>
    <t>C231318</t>
  </si>
  <si>
    <t>Switch Push Button</t>
  </si>
  <si>
    <t>SN74LV4T125PWR</t>
  </si>
  <si>
    <t>C90755</t>
  </si>
  <si>
    <t>x</t>
  </si>
  <si>
    <t>Temp Modules</t>
  </si>
  <si>
    <t>Expansion Card</t>
  </si>
  <si>
    <t>TYPE-C-31-M-12</t>
  </si>
  <si>
    <t>C165948</t>
  </si>
  <si>
    <t>USB_C</t>
  </si>
  <si>
    <t>Faston</t>
  </si>
  <si>
    <t>63849-1</t>
  </si>
  <si>
    <t>C86469</t>
  </si>
  <si>
    <t>C89120</t>
  </si>
  <si>
    <t>2 Pin Screw Terminal</t>
  </si>
  <si>
    <t>XF-508P-B-B</t>
  </si>
  <si>
    <t>C19727305</t>
  </si>
  <si>
    <t>Fuse Holder</t>
  </si>
  <si>
    <t>SS11-BBIWG-R20-R</t>
  </si>
  <si>
    <t>C309069</t>
  </si>
  <si>
    <t>0997010.WXN</t>
  </si>
  <si>
    <t>C207026</t>
  </si>
  <si>
    <t>10A Fuse</t>
  </si>
  <si>
    <t>3A Fuse</t>
  </si>
  <si>
    <t>0997003.WXN</t>
  </si>
  <si>
    <t>C3661685</t>
  </si>
  <si>
    <t>SDDJF31100</t>
  </si>
  <si>
    <t>C380204</t>
  </si>
  <si>
    <t>DSK24L</t>
  </si>
  <si>
    <t>C19272974</t>
  </si>
  <si>
    <t>C90073</t>
  </si>
  <si>
    <t>2 Pin Plug</t>
  </si>
  <si>
    <t>2 Pin Header</t>
  </si>
  <si>
    <t>C5443585</t>
  </si>
  <si>
    <t>BC807-40,215</t>
  </si>
  <si>
    <t>C57316</t>
  </si>
  <si>
    <t>Led Red</t>
  </si>
  <si>
    <t>mA</t>
  </si>
  <si>
    <t>R</t>
  </si>
  <si>
    <t>A-SP192DGHC-C01-4T</t>
  </si>
  <si>
    <t>C19171301</t>
  </si>
  <si>
    <t>A-SP192DB1C-C01-4T</t>
  </si>
  <si>
    <t>C5355419</t>
  </si>
  <si>
    <t>Vmin</t>
  </si>
  <si>
    <t>Vmax</t>
  </si>
  <si>
    <t>Vavg.</t>
  </si>
  <si>
    <t>Led Yellow Green</t>
  </si>
  <si>
    <t>A-SP192DG2C-C01-4T</t>
  </si>
  <si>
    <t>C5151486</t>
  </si>
  <si>
    <t>Vin</t>
  </si>
  <si>
    <t>Diode Clamp</t>
  </si>
  <si>
    <t>Diode Schottky</t>
  </si>
  <si>
    <t>Diode Low Forward Voltage</t>
  </si>
  <si>
    <t>Inductor</t>
  </si>
  <si>
    <t>100n</t>
  </si>
  <si>
    <t>470n</t>
  </si>
  <si>
    <t>C4</t>
  </si>
  <si>
    <t>10n</t>
  </si>
  <si>
    <t>22n</t>
  </si>
  <si>
    <t>8pF</t>
  </si>
  <si>
    <t>Value</t>
  </si>
  <si>
    <t>Reference</t>
  </si>
  <si>
    <t>Qty</t>
  </si>
  <si>
    <t>DNP</t>
  </si>
  <si>
    <t>Exclude from BOM</t>
  </si>
  <si>
    <t>Exclude from Board</t>
  </si>
  <si>
    <t>Footprint</t>
  </si>
  <si>
    <t>D1,D26</t>
  </si>
  <si>
    <t>LED_R</t>
  </si>
  <si>
    <t>LED_SMD:LED_0603_1608Metric</t>
  </si>
  <si>
    <t>D2</t>
  </si>
  <si>
    <t>Diode_SMD:D_SOD-123F</t>
  </si>
  <si>
    <t>D3,D4</t>
  </si>
  <si>
    <t>LED_G</t>
  </si>
  <si>
    <t>D5,D7,D9,D11</t>
  </si>
  <si>
    <t>SamacSys_Parts:DIOM5436X250N</t>
  </si>
  <si>
    <t>D6,D8,D10,D12</t>
  </si>
  <si>
    <t>LED_B</t>
  </si>
  <si>
    <t>D13,D16,D19,D22</t>
  </si>
  <si>
    <t>LED_YG</t>
  </si>
  <si>
    <t>D14,D17,D20,D23</t>
  </si>
  <si>
    <t>1N5819</t>
  </si>
  <si>
    <t>Diode_SMD:D_SOD-323</t>
  </si>
  <si>
    <t>1N4148</t>
  </si>
  <si>
    <t>Diode_SMD:D_SOD-523</t>
  </si>
  <si>
    <t>Qty 2x Boards</t>
  </si>
  <si>
    <t>LCSC:FUSE-TH_4P-L16.0-W6.7</t>
  </si>
  <si>
    <t>F1,F2</t>
  </si>
  <si>
    <t>IC1</t>
  </si>
  <si>
    <t>LM76005RNPR</t>
  </si>
  <si>
    <t>SamacSys_Parts:QFN50P400X600X80-31N-D</t>
  </si>
  <si>
    <t>J1</t>
  </si>
  <si>
    <t>LCSC:USB-A-TH_USB-302-T</t>
  </si>
  <si>
    <t>J2</t>
  </si>
  <si>
    <t>USB_C_Receptacle_USB2.0_14P</t>
  </si>
  <si>
    <t>LCSC:USB-C_SMD-TYPE-C-31-M-12_1</t>
  </si>
  <si>
    <t>Conn_01x02</t>
  </si>
  <si>
    <t>Connector_JST:JST_XH_B2B-XH-A_1x02_P2.50mm_Vertical</t>
  </si>
  <si>
    <t>J7,J8,J9,J10</t>
  </si>
  <si>
    <t>LCSC:CONN-TH_2P-P5.08_2EDG-5.08-2AW</t>
  </si>
  <si>
    <t>J11,J12</t>
  </si>
  <si>
    <t>Conn_02x08_Odd_Even</t>
  </si>
  <si>
    <t>Connector_PinSocket_2.54mm:PinSocket_2x08_P2.54mm_Vertical</t>
  </si>
  <si>
    <t>J13,J14,J15</t>
  </si>
  <si>
    <t>Conn_01x04</t>
  </si>
  <si>
    <t>Connector_PinSocket_2.54mm:PinSocket_1x03_P2.54mm_Vertical</t>
  </si>
  <si>
    <t>J16,J17,J18,J19</t>
  </si>
  <si>
    <t>Conn_01x03</t>
  </si>
  <si>
    <t>Connector_JST:JST_XH_B3B-XH-A_1x03_P2.50mm_Vertical</t>
  </si>
  <si>
    <t>Mini-DIN-4</t>
  </si>
  <si>
    <t>Connector_PinHeader_2.54mm:PinHeader_1x02_P2.54mm_Vertical</t>
  </si>
  <si>
    <t>Connector_JST:JST_XH_B4B-XH-A_1x04_P2.50mm_Vertical</t>
  </si>
  <si>
    <t>Conn_01x06_Pin</t>
  </si>
  <si>
    <t>Connector_PinHeader_2.54mm:PinHeader_1x06_P2.54mm_Vertical</t>
  </si>
  <si>
    <t>J32,J35,J38</t>
  </si>
  <si>
    <t>Connector_PinSocket_2.54mm:PinSocket_1x02_P2.54mm_Vertical</t>
  </si>
  <si>
    <t>LM76005QRNPRQ1</t>
  </si>
  <si>
    <t>C2873394</t>
  </si>
  <si>
    <t>DC/DC Converter IC</t>
  </si>
  <si>
    <t>2 Pin JST_XH</t>
  </si>
  <si>
    <t>3 Pin JST_XH</t>
  </si>
  <si>
    <t>B2B-XH-A(LF)(SN)</t>
  </si>
  <si>
    <t>C158012</t>
  </si>
  <si>
    <t>B3B-XH-A(LF)(SN)</t>
  </si>
  <si>
    <t>C144394</t>
  </si>
  <si>
    <t>4 Pin JST_XH</t>
  </si>
  <si>
    <t>B4B-XH-A(LF)(SN)</t>
  </si>
  <si>
    <t>C144395</t>
  </si>
  <si>
    <t>PZ2.54-1X6P-H25</t>
  </si>
  <si>
    <t>C42431790</t>
  </si>
  <si>
    <t>1x6 Pin Header</t>
  </si>
  <si>
    <t>1x2 Pin Header</t>
  </si>
  <si>
    <t>PH2.54-1X2P-H25</t>
  </si>
  <si>
    <t>C42431798</t>
  </si>
  <si>
    <t>PM2.54-2X8PM-H85</t>
  </si>
  <si>
    <t>C42431844</t>
  </si>
  <si>
    <t>PM2.54-1X3P-H85</t>
  </si>
  <si>
    <t>C42431866</t>
  </si>
  <si>
    <t>1x3 Pin Socket</t>
  </si>
  <si>
    <t>1x2 Pin Socket</t>
  </si>
  <si>
    <t>2x8 Pin Socket</t>
  </si>
  <si>
    <t>1x4 Pin Socket</t>
  </si>
  <si>
    <t>PM2.54-1X4PM-H85</t>
  </si>
  <si>
    <t>C42431839</t>
  </si>
  <si>
    <t>PM2.54-1X2PM-H85</t>
  </si>
  <si>
    <t>C42431841</t>
  </si>
  <si>
    <t>K1</t>
  </si>
  <si>
    <t>G2RL-1A-E</t>
  </si>
  <si>
    <t>Relay_THT:Relay_SPST_Omron_G2RL-1A-E</t>
  </si>
  <si>
    <t>L1</t>
  </si>
  <si>
    <t>Inductor_SMD:L_Vishay_IHLP-4040</t>
  </si>
  <si>
    <t>Q1,Q2,Q3,Q4</t>
  </si>
  <si>
    <t>SamacSys_Parts:NVMFS5C460NWFT1G</t>
  </si>
  <si>
    <t>Q5,Q6,Q7,Q8</t>
  </si>
  <si>
    <t>BC817</t>
  </si>
  <si>
    <t>Package_TO_SOT_SMD:SOT-23</t>
  </si>
  <si>
    <t>Q9</t>
  </si>
  <si>
    <t>BC807</t>
  </si>
  <si>
    <t>R1</t>
  </si>
  <si>
    <t>47k</t>
  </si>
  <si>
    <t>300R</t>
  </si>
  <si>
    <t>R3,R4</t>
  </si>
  <si>
    <t>R5</t>
  </si>
  <si>
    <t>120R</t>
  </si>
  <si>
    <t>R6,R35,R39,R43,R47,R54</t>
  </si>
  <si>
    <t>470R</t>
  </si>
  <si>
    <t>R7,R8,R23,R24,R31,R32</t>
  </si>
  <si>
    <t>100k</t>
  </si>
  <si>
    <t>R9</t>
  </si>
  <si>
    <t>R10,R12,R14,R16,R73</t>
  </si>
  <si>
    <t>R11,R13,R15,R17,R51,R53,R55,R72</t>
  </si>
  <si>
    <t>1k</t>
  </si>
  <si>
    <t>R18,R25,R26,R33</t>
  </si>
  <si>
    <t>R19,R21,R27,R29</t>
  </si>
  <si>
    <t>100R</t>
  </si>
  <si>
    <t>10R</t>
  </si>
  <si>
    <t>R34,R38,R42,R46</t>
  </si>
  <si>
    <t>R36,R37,R40,R41,R44,R45,R48,R49</t>
  </si>
  <si>
    <t>R50,R71</t>
  </si>
  <si>
    <t>10k</t>
  </si>
  <si>
    <t>R61,R62,R63,R64,R65,R66,R67,R68,R69,R70</t>
  </si>
  <si>
    <t>S1</t>
  </si>
  <si>
    <t>SamacSys_Parts:SOT95P280X145-5N</t>
  </si>
  <si>
    <t>SW1</t>
  </si>
  <si>
    <t>SW_SPST</t>
  </si>
  <si>
    <t>LCSC:SW-TH_SDDJF31100</t>
  </si>
  <si>
    <t>SW2,SW3</t>
  </si>
  <si>
    <t>SW_Push</t>
  </si>
  <si>
    <t>SamacSys_Parts:B3F3120</t>
  </si>
  <si>
    <t>U1</t>
  </si>
  <si>
    <t>Package_TO_SOT_SMD:SOT-23-6</t>
  </si>
  <si>
    <t>U2</t>
  </si>
  <si>
    <t>AP7361C-33E</t>
  </si>
  <si>
    <t>Package_TO_SOT_SMD:SOT-223-3_TabPin2</t>
  </si>
  <si>
    <t>U3,U4</t>
  </si>
  <si>
    <t>TC4427xOA</t>
  </si>
  <si>
    <t>Package_SO:SOIC-8_3.9x4.9mm_P1.27mm</t>
  </si>
  <si>
    <t>U5</t>
  </si>
  <si>
    <t>SN74LV4T125</t>
  </si>
  <si>
    <t>Package_SO:TSSOP-14_4.4x5mm_P0.65mm</t>
  </si>
  <si>
    <t>U6</t>
  </si>
  <si>
    <t>NE555D</t>
  </si>
  <si>
    <t>U7,U8,U9,U10,U11</t>
  </si>
  <si>
    <t>TMC2130-TA</t>
  </si>
  <si>
    <t>Package_QFP:TQFP-48-1EP_7x7mm_P0.5mm_EP5x5mm_ThermalVias</t>
  </si>
  <si>
    <t>U12</t>
  </si>
  <si>
    <t>STM32F407VGTx</t>
  </si>
  <si>
    <t>Package_QFP:LQFP-100_14x14mm_P0.5mm</t>
  </si>
  <si>
    <t>Y1</t>
  </si>
  <si>
    <t>25MHz</t>
  </si>
  <si>
    <t>Crystal:Crystal_SMD_3225-4Pin_3.2x2.5mm</t>
  </si>
  <si>
    <t>Relay</t>
  </si>
  <si>
    <t>Transistor NPN</t>
  </si>
  <si>
    <t>Transistor PNP</t>
  </si>
  <si>
    <t>Resistor 47k</t>
  </si>
  <si>
    <t>Resistor 300R</t>
  </si>
  <si>
    <t>Resisitor 120R</t>
  </si>
  <si>
    <t>Resistor 100k</t>
  </si>
  <si>
    <t>R2</t>
  </si>
  <si>
    <t>620R</t>
  </si>
  <si>
    <t>R52</t>
  </si>
  <si>
    <t>FBF06FTPR120-00L</t>
  </si>
  <si>
    <t>C382272</t>
  </si>
  <si>
    <t>Resistor 470R</t>
  </si>
  <si>
    <t>Resistor Current Sense 0.120R</t>
  </si>
  <si>
    <t>Resistor_SMD:R_0603_1608Metric</t>
  </si>
  <si>
    <t>R20,R22,R28,R30</t>
  </si>
  <si>
    <t>Resistor_SMD:R_0805_2012Metric</t>
  </si>
  <si>
    <t>R56,R57,R58,R59,R60</t>
  </si>
  <si>
    <t>0.120R</t>
  </si>
  <si>
    <t>Resistor_SMD:R_1206_3216Metric</t>
  </si>
  <si>
    <t>Resistor 1k</t>
  </si>
  <si>
    <t>Resistor 100R</t>
  </si>
  <si>
    <t>Resistor 10R</t>
  </si>
  <si>
    <t>Resistor 10k</t>
  </si>
  <si>
    <t>Resistor 620R</t>
  </si>
  <si>
    <t>On PCB Rocker Switch</t>
  </si>
  <si>
    <t>Ext. Rocker Switch</t>
  </si>
  <si>
    <t>593D227X0010E2TE3</t>
  </si>
  <si>
    <t>C1952898</t>
  </si>
  <si>
    <t xml:space="preserve">C2177586 </t>
  </si>
  <si>
    <t>VJ0805Y474KXQTW1BC</t>
  </si>
  <si>
    <t xml:space="preserve">C2313088 </t>
  </si>
  <si>
    <t>VJ1210Y474KXBAT</t>
  </si>
  <si>
    <t xml:space="preserve">C694475 </t>
  </si>
  <si>
    <t>C3225X7S2A475KT003S</t>
  </si>
  <si>
    <t xml:space="preserve">C76612 </t>
  </si>
  <si>
    <t>C1608X5R1C225KT000N</t>
  </si>
  <si>
    <t>Resistor 1k8</t>
  </si>
  <si>
    <t>Resistor 4k7</t>
  </si>
  <si>
    <t>Resistor 24k9</t>
  </si>
  <si>
    <t>Resistor 5k1</t>
  </si>
  <si>
    <t>Capacitor 4μ7 100V</t>
  </si>
  <si>
    <t>Capacitor 470n 10V</t>
  </si>
  <si>
    <t>Capacitor 220μ 10V</t>
  </si>
  <si>
    <t>Capacitor 2μ2 16V</t>
  </si>
  <si>
    <t>Capacitor 470n 100V</t>
  </si>
  <si>
    <t>EEEFK1J100P</t>
  </si>
  <si>
    <t>C128459</t>
  </si>
  <si>
    <t>Capacitor 10μ 63V</t>
  </si>
  <si>
    <t>Capacitor 100μ 63V</t>
  </si>
  <si>
    <t>CC0603KRX7R9BB104</t>
  </si>
  <si>
    <t>C14663</t>
  </si>
  <si>
    <t>Capacitor 100n 50V</t>
  </si>
  <si>
    <t>CC0603KRX7R9BB103</t>
  </si>
  <si>
    <t>C100042</t>
  </si>
  <si>
    <t>CC0603KRX7R9BB223</t>
  </si>
  <si>
    <t>C106222</t>
  </si>
  <si>
    <t>CL10A105KB8NNNC</t>
  </si>
  <si>
    <t>C15849</t>
  </si>
  <si>
    <t>CL10C080DB81PNC</t>
  </si>
  <si>
    <t>C346204</t>
  </si>
  <si>
    <t>Capacitor 8p 50V</t>
  </si>
  <si>
    <t>Capacitor 22n 50V</t>
  </si>
  <si>
    <t>Capacitor 1μ 50V</t>
  </si>
  <si>
    <t>Capacitor 10n 50V</t>
  </si>
  <si>
    <t>Capacitor 4μ7 50V</t>
  </si>
  <si>
    <t>CL21A475KBQNNNE</t>
  </si>
  <si>
    <t>C98192</t>
  </si>
  <si>
    <t>C1,C11,C12,C13,C14,C16,C18,C19,C20,C21,C22,C23,C24,C25,C26,C31,C32,C33,C34,C46,C47,C49,C50,C52,C53,C55,C56,C58,C59,C61,C62,C63,C64,C65,C66,C67,C68,C69,C70,C76,C77,C78,C79,C80,C81,C83,C85,C86,C87,C93,C94,C95</t>
  </si>
  <si>
    <t>Capacitor_SMD:C_0603_1608Metric</t>
  </si>
  <si>
    <t>C2,C9,C10,C15,C17,C41,C42,C43,C44,C45,C82</t>
  </si>
  <si>
    <t>Capacitor_SMD:C_0805_2012Metric</t>
  </si>
  <si>
    <t>C3,C5</t>
  </si>
  <si>
    <t>470n 10V</t>
  </si>
  <si>
    <t>Capacitor_Tantalum_SMD:CP_EIA-7343-43_Kemet-X</t>
  </si>
  <si>
    <t>C6</t>
  </si>
  <si>
    <t>470n 100V</t>
  </si>
  <si>
    <t>Capacitor_SMD:C_1210_3225Metric</t>
  </si>
  <si>
    <t>C7</t>
  </si>
  <si>
    <t>C8</t>
  </si>
  <si>
    <t>C27,C28,C48,C51,C54,C57,C60</t>
  </si>
  <si>
    <t>Capacitor_SMD:CP_Elec_10x10</t>
  </si>
  <si>
    <t>C29,C30</t>
  </si>
  <si>
    <t>Capacitor_SMD:CP_Elec_6.3x5.8</t>
  </si>
  <si>
    <t>C35</t>
  </si>
  <si>
    <t>C36,C37,C38,C39,C40</t>
  </si>
  <si>
    <t>C71,C72,C73,C74,C75</t>
  </si>
  <si>
    <t>C84,C88</t>
  </si>
  <si>
    <t>C89,C90</t>
  </si>
  <si>
    <t>C91,C92</t>
  </si>
  <si>
    <t>LCSC:CONN-TH_MKDS3-2-5.08</t>
  </si>
  <si>
    <t>LCSC:CONN-TH_63849-1</t>
  </si>
  <si>
    <t>D15,D18,D21,D24,D27</t>
  </si>
  <si>
    <t>D25,D28</t>
  </si>
  <si>
    <t>J3,J4,J5,J6,J33,J36,J39</t>
  </si>
  <si>
    <t>J20,J21</t>
  </si>
  <si>
    <t>J22</t>
  </si>
  <si>
    <t>J23</t>
  </si>
  <si>
    <t>J24,J25</t>
  </si>
  <si>
    <t>J26,J27,J28,J29,J30</t>
  </si>
  <si>
    <t>J31</t>
  </si>
  <si>
    <t>J34,J37,J40</t>
  </si>
  <si>
    <t>5k1</t>
  </si>
  <si>
    <t>24k9</t>
  </si>
  <si>
    <t>4k7</t>
  </si>
  <si>
    <t>1k8</t>
  </si>
  <si>
    <t>CC0603KRX7R9BB474</t>
  </si>
  <si>
    <t>C513577</t>
  </si>
  <si>
    <t>Capacitor 470n 50V</t>
  </si>
  <si>
    <t>CL10A225KB8NNNC</t>
  </si>
  <si>
    <t>C913904</t>
  </si>
  <si>
    <t>Capacitor 2μ2 50V</t>
  </si>
  <si>
    <t>Stuff outside the pcb</t>
  </si>
  <si>
    <t>DIN-422</t>
  </si>
  <si>
    <t>C2939341</t>
  </si>
  <si>
    <t>4 Pin Power In Connector</t>
  </si>
  <si>
    <t>G2RL-1A-E DC5</t>
  </si>
  <si>
    <t>C397259</t>
  </si>
  <si>
    <t>RC0603FR-07100RL</t>
  </si>
  <si>
    <t>C105588</t>
  </si>
  <si>
    <t>RC0603FR-07120RL</t>
  </si>
  <si>
    <t>C114640</t>
  </si>
  <si>
    <t>RC0603FR-0710RL</t>
  </si>
  <si>
    <t>C109318</t>
  </si>
  <si>
    <t>RC0805FR-0710RL</t>
  </si>
  <si>
    <t>C96347</t>
  </si>
  <si>
    <t>RC0603FR-07300RL</t>
  </si>
  <si>
    <t>C114617</t>
  </si>
  <si>
    <t>RC0603FR-07470RL</t>
  </si>
  <si>
    <t>C114669</t>
  </si>
  <si>
    <t>RC0603FR-07620RL</t>
  </si>
  <si>
    <t>C137695</t>
  </si>
  <si>
    <t>RC0603FR-071KL</t>
  </si>
  <si>
    <t>C22548</t>
  </si>
  <si>
    <t>RC0603FR-071K8L</t>
  </si>
  <si>
    <t>C185354</t>
  </si>
  <si>
    <t>RC0603FR-0710KL</t>
  </si>
  <si>
    <t>C98220</t>
  </si>
  <si>
    <t>RC0603FR-074K7L</t>
  </si>
  <si>
    <t>C99782</t>
  </si>
  <si>
    <t>RT0603BRE0724K9L</t>
  </si>
  <si>
    <t>C861775</t>
  </si>
  <si>
    <t>RT0603BRE07100KL</t>
  </si>
  <si>
    <t>C326758</t>
  </si>
  <si>
    <t>RC0603FR-075K1L</t>
  </si>
  <si>
    <t>C105580</t>
  </si>
  <si>
    <t>RC0603FR-0747KL</t>
  </si>
  <si>
    <t>C105579</t>
  </si>
  <si>
    <t>A-SP192XR5C-A01-4T</t>
  </si>
  <si>
    <t>C19171307</t>
  </si>
  <si>
    <t>C72481</t>
  </si>
  <si>
    <t>I have these at home</t>
  </si>
  <si>
    <t>Do Not Order</t>
  </si>
  <si>
    <t>Extra</t>
  </si>
  <si>
    <t>4Î¼7</t>
  </si>
  <si>
    <t>220Î¼ 10V</t>
  </si>
  <si>
    <t>4Î¼7 100V</t>
  </si>
  <si>
    <t>2Î¼2 16V</t>
  </si>
  <si>
    <t>100Î¼</t>
  </si>
  <si>
    <t>10Î¼</t>
  </si>
  <si>
    <t>1Î¼</t>
  </si>
  <si>
    <t>2Î¼2</t>
  </si>
  <si>
    <t>Connector_PinSocket_2.54mm:PinSocket_1x04_P2.54mm_Vertical</t>
  </si>
  <si>
    <t>LCSC:CONN-TH_DIN-422</t>
  </si>
  <si>
    <t>6.8Î¼</t>
  </si>
  <si>
    <t>430R</t>
  </si>
  <si>
    <t>Resistor 430R</t>
  </si>
  <si>
    <t>RC0603FR-07430RL</t>
  </si>
  <si>
    <t>C137721</t>
  </si>
  <si>
    <t>RC0603FR-07536RL</t>
  </si>
  <si>
    <t>C245976</t>
  </si>
  <si>
    <t>Resistor 536R</t>
  </si>
  <si>
    <t>536R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</si>
</sst>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1" xfId="1" applyBorder="1"/>
    <xf numFmtId="164" fontId="0" fillId="0" borderId="1" xfId="0" applyNumberFormat="1" applyBorder="1"/>
    <xf numFmtId="0" fontId="1" fillId="0" borderId="1" xfId="1" applyFill="1" applyBorder="1" applyAlignment="1">
      <alignment horizontal="left"/>
    </xf>
    <xf numFmtId="0" fontId="1" fillId="0" borderId="1" xfId="1" applyFill="1" applyBorder="1"/>
    <xf numFmtId="164" fontId="0" fillId="0" borderId="1" xfId="0" applyNumberFormat="1" applyBorder="1" applyAlignment="1">
      <alignment horizontal="right"/>
    </xf>
    <xf numFmtId="0" fontId="0" fillId="3" borderId="2" xfId="0" applyFill="1" applyBorder="1" applyAlignment="1">
      <alignment horizontal="right"/>
    </xf>
    <xf numFmtId="164" fontId="0" fillId="0" borderId="1" xfId="0" applyNumberFormat="1" applyBorder="1" applyAlignment="1">
      <alignment wrapText="1"/>
    </xf>
    <xf numFmtId="164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4">
    <dxf>
      <fill>
        <patternFill>
          <bgColor rgb="FFFFB7B7"/>
        </patternFill>
      </fill>
    </dxf>
    <dxf>
      <fill>
        <patternFill>
          <bgColor rgb="FFFFFFB7"/>
        </patternFill>
      </fill>
    </dxf>
    <dxf>
      <fill>
        <patternFill>
          <bgColor theme="6" tint="0.7999816888943144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FFB7B7"/>
      <color rgb="FFFFFFB7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105588.html" TargetMode="External"/><Relationship Id="rId21" Type="http://schemas.openxmlformats.org/officeDocument/2006/relationships/hyperlink" Target="https://www.lcsc.com/product-detail/C500795.html?s_z=n_ap7361C-33E" TargetMode="External"/><Relationship Id="rId42" Type="http://schemas.openxmlformats.org/officeDocument/2006/relationships/hyperlink" Target="https://www.lcsc.com/product-detail/C19727305.html" TargetMode="External"/><Relationship Id="rId63" Type="http://schemas.openxmlformats.org/officeDocument/2006/relationships/hyperlink" Target="https://www.lcsc.com/product-detail/C5151486.html?s_z=n_amicc%2520A-SP192D" TargetMode="External"/><Relationship Id="rId84" Type="http://schemas.openxmlformats.org/officeDocument/2006/relationships/hyperlink" Target="https://www.lcsc.com/product-detail/C42431839.html" TargetMode="External"/><Relationship Id="rId138" Type="http://schemas.openxmlformats.org/officeDocument/2006/relationships/hyperlink" Target="https://www.lcsc.com/product-detail/C99782.html" TargetMode="External"/><Relationship Id="rId107" Type="http://schemas.openxmlformats.org/officeDocument/2006/relationships/hyperlink" Target="https://www.lcsc.com/product-detail/C98192.html" TargetMode="External"/><Relationship Id="rId11" Type="http://schemas.openxmlformats.org/officeDocument/2006/relationships/hyperlink" Target="https://www.lcsc.com/product-detail/C112456.html?s_z=n_usb_a_stewart" TargetMode="External"/><Relationship Id="rId32" Type="http://schemas.openxmlformats.org/officeDocument/2006/relationships/hyperlink" Target="https://www.lcsc.com/product-detail/C231318.html?s_z=n_st%2520omron%2520b3f%2520315" TargetMode="External"/><Relationship Id="rId53" Type="http://schemas.openxmlformats.org/officeDocument/2006/relationships/hyperlink" Target="https://www.lcsc.com/product-detail/C90073.html" TargetMode="External"/><Relationship Id="rId74" Type="http://schemas.openxmlformats.org/officeDocument/2006/relationships/hyperlink" Target="https://www.lcsc.com/product-detail/C144395.html" TargetMode="External"/><Relationship Id="rId128" Type="http://schemas.openxmlformats.org/officeDocument/2006/relationships/hyperlink" Target="https://www.lcsc.com/product-detail/C114669.html" TargetMode="External"/><Relationship Id="rId149" Type="http://schemas.openxmlformats.org/officeDocument/2006/relationships/hyperlink" Target="https://www.lcsc.com/product-detail/C72481.html" TargetMode="External"/><Relationship Id="rId5" Type="http://schemas.openxmlformats.org/officeDocument/2006/relationships/hyperlink" Target="https://www.lcsc.com/product-detail/C845080.html?s_z=h_IHLP4040DZER6R8M01" TargetMode="External"/><Relationship Id="rId95" Type="http://schemas.openxmlformats.org/officeDocument/2006/relationships/hyperlink" Target="https://www.lcsc.com/product-detail/C128459.html" TargetMode="External"/><Relationship Id="rId22" Type="http://schemas.openxmlformats.org/officeDocument/2006/relationships/hyperlink" Target="https://www.lcsc.com/product-detail/C500795.html?s_z=n_ap7361C-33E" TargetMode="External"/><Relationship Id="rId27" Type="http://schemas.openxmlformats.org/officeDocument/2006/relationships/hyperlink" Target="https://www.lcsc.com/product-detail/C1985619.html?s_z=n_NX3225GA%252025MHz%2520EXS00A-CG06750" TargetMode="External"/><Relationship Id="rId43" Type="http://schemas.openxmlformats.org/officeDocument/2006/relationships/hyperlink" Target="https://www.lcsc.com/product-detail/C309069.html" TargetMode="External"/><Relationship Id="rId48" Type="http://schemas.openxmlformats.org/officeDocument/2006/relationships/hyperlink" Target="https://www.lcsc.com/product-detail/C3661685.html" TargetMode="External"/><Relationship Id="rId64" Type="http://schemas.openxmlformats.org/officeDocument/2006/relationships/hyperlink" Target="https://www.lcsc.com/product-detail/C5151486.html?s_z=n_amicc%2520A-SP192D" TargetMode="External"/><Relationship Id="rId69" Type="http://schemas.openxmlformats.org/officeDocument/2006/relationships/hyperlink" Target="https://www.lcsc.com/product-detail/C158012.html" TargetMode="External"/><Relationship Id="rId113" Type="http://schemas.openxmlformats.org/officeDocument/2006/relationships/hyperlink" Target="https://www.lcsc.com/product-detail/C2939341.html" TargetMode="External"/><Relationship Id="rId118" Type="http://schemas.openxmlformats.org/officeDocument/2006/relationships/hyperlink" Target="https://www.lcsc.com/product-detail/C105588.html" TargetMode="External"/><Relationship Id="rId134" Type="http://schemas.openxmlformats.org/officeDocument/2006/relationships/hyperlink" Target="https://www.lcsc.com/product-detail/C185354.html" TargetMode="External"/><Relationship Id="rId139" Type="http://schemas.openxmlformats.org/officeDocument/2006/relationships/hyperlink" Target="https://www.lcsc.com/product-detail/C861775.html" TargetMode="External"/><Relationship Id="rId80" Type="http://schemas.openxmlformats.org/officeDocument/2006/relationships/hyperlink" Target="https://www.lcsc.com/product-detail/C42431844.html" TargetMode="External"/><Relationship Id="rId85" Type="http://schemas.openxmlformats.org/officeDocument/2006/relationships/hyperlink" Target="https://www.lcsc.com/product-detail/C42431841.html" TargetMode="External"/><Relationship Id="rId150" Type="http://schemas.openxmlformats.org/officeDocument/2006/relationships/hyperlink" Target="https://www.lcsc.com/product-detail/C72481.html" TargetMode="External"/><Relationship Id="rId12" Type="http://schemas.openxmlformats.org/officeDocument/2006/relationships/hyperlink" Target="https://www.lcsc.com/product-detail/C112456.html?s_z=n_usb_a_stewart" TargetMode="External"/><Relationship Id="rId17" Type="http://schemas.openxmlformats.org/officeDocument/2006/relationships/hyperlink" Target="https://www.lcsc.com/product-detail/C12345.html?s_z=n_stm32f407vgt" TargetMode="External"/><Relationship Id="rId33" Type="http://schemas.openxmlformats.org/officeDocument/2006/relationships/hyperlink" Target="https://www.lcsc.com/product-detail/C90755.html?s_z=n_SN74LV4T125-EP" TargetMode="External"/><Relationship Id="rId38" Type="http://schemas.openxmlformats.org/officeDocument/2006/relationships/hyperlink" Target="https://www.lcsc.com/product-detail/C86469.html?s_z=n_faston" TargetMode="External"/><Relationship Id="rId59" Type="http://schemas.openxmlformats.org/officeDocument/2006/relationships/hyperlink" Target="https://www.lcsc.com/product-detail/C19171301.html?s_z=n_amicc%2520A-SP192D" TargetMode="External"/><Relationship Id="rId103" Type="http://schemas.openxmlformats.org/officeDocument/2006/relationships/hyperlink" Target="https://www.lcsc.com/product-detail/C15849.html" TargetMode="External"/><Relationship Id="rId108" Type="http://schemas.openxmlformats.org/officeDocument/2006/relationships/hyperlink" Target="https://www.lcsc.com/product-detail/C98192.html" TargetMode="External"/><Relationship Id="rId124" Type="http://schemas.openxmlformats.org/officeDocument/2006/relationships/hyperlink" Target="https://www.lcsc.com/product-detail/C96347.html" TargetMode="External"/><Relationship Id="rId129" Type="http://schemas.openxmlformats.org/officeDocument/2006/relationships/hyperlink" Target="https://www.lcsc.com/product-detail/C137695.html" TargetMode="External"/><Relationship Id="rId54" Type="http://schemas.openxmlformats.org/officeDocument/2006/relationships/hyperlink" Target="https://www.lcsc.com/product-detail/C90073.html" TargetMode="External"/><Relationship Id="rId70" Type="http://schemas.openxmlformats.org/officeDocument/2006/relationships/hyperlink" Target="https://www.lcsc.com/product-detail/C158012.html" TargetMode="External"/><Relationship Id="rId75" Type="http://schemas.openxmlformats.org/officeDocument/2006/relationships/hyperlink" Target="https://www.lcsc.com/product-detail/C42431790.html" TargetMode="External"/><Relationship Id="rId91" Type="http://schemas.openxmlformats.org/officeDocument/2006/relationships/hyperlink" Target="https://www.lcsc.com/product-detail/C2177586.html" TargetMode="External"/><Relationship Id="rId96" Type="http://schemas.openxmlformats.org/officeDocument/2006/relationships/hyperlink" Target="https://www.lcsc.com/product-detail/C128459.html" TargetMode="External"/><Relationship Id="rId140" Type="http://schemas.openxmlformats.org/officeDocument/2006/relationships/hyperlink" Target="https://www.lcsc.com/product-detail/C861775.html" TargetMode="External"/><Relationship Id="rId145" Type="http://schemas.openxmlformats.org/officeDocument/2006/relationships/hyperlink" Target="https://www.lcsc.com/product-detail/C105579.html" TargetMode="External"/><Relationship Id="rId1" Type="http://schemas.openxmlformats.org/officeDocument/2006/relationships/hyperlink" Target="https://www.lcsc.com/product-detail/C19077594.html?s_z=n_smbj64a" TargetMode="External"/><Relationship Id="rId6" Type="http://schemas.openxmlformats.org/officeDocument/2006/relationships/hyperlink" Target="https://www.lcsc.com/product-detail/C845080.html?s_z=h_IHLP4040DZER6R8M01" TargetMode="External"/><Relationship Id="rId23" Type="http://schemas.openxmlformats.org/officeDocument/2006/relationships/hyperlink" Target="https://www.lcsc.com/product-detail/C636891.html?s_z=n_tc4427xoa" TargetMode="External"/><Relationship Id="rId28" Type="http://schemas.openxmlformats.org/officeDocument/2006/relationships/hyperlink" Target="https://www.lcsc.com/product-detail/C1985619.html?s_z=n_NX3225GA%252025MHz%2520EXS00A-CG06750" TargetMode="External"/><Relationship Id="rId49" Type="http://schemas.openxmlformats.org/officeDocument/2006/relationships/hyperlink" Target="https://www.lcsc.com/product-detail/C380204.html" TargetMode="External"/><Relationship Id="rId114" Type="http://schemas.openxmlformats.org/officeDocument/2006/relationships/hyperlink" Target="https://www.lcsc.com/product-detail/C2939341.html" TargetMode="External"/><Relationship Id="rId119" Type="http://schemas.openxmlformats.org/officeDocument/2006/relationships/hyperlink" Target="https://www.lcsc.com/product-detail/C114640.html" TargetMode="External"/><Relationship Id="rId44" Type="http://schemas.openxmlformats.org/officeDocument/2006/relationships/hyperlink" Target="https://www.lcsc.com/product-detail/C309069.html" TargetMode="External"/><Relationship Id="rId60" Type="http://schemas.openxmlformats.org/officeDocument/2006/relationships/hyperlink" Target="https://www.lcsc.com/product-detail/C19171301.html?s_z=n_amicc%2520A-SP192D" TargetMode="External"/><Relationship Id="rId65" Type="http://schemas.openxmlformats.org/officeDocument/2006/relationships/hyperlink" Target="https://www.lcsc.com/product-detail/C191023.html?s_z=n_1n5819" TargetMode="External"/><Relationship Id="rId81" Type="http://schemas.openxmlformats.org/officeDocument/2006/relationships/hyperlink" Target="https://www.lcsc.com/product-detail/C42431866.html" TargetMode="External"/><Relationship Id="rId86" Type="http://schemas.openxmlformats.org/officeDocument/2006/relationships/hyperlink" Target="https://www.lcsc.com/product-detail/C42431841.html" TargetMode="External"/><Relationship Id="rId130" Type="http://schemas.openxmlformats.org/officeDocument/2006/relationships/hyperlink" Target="https://www.lcsc.com/product-detail/C137695.html" TargetMode="External"/><Relationship Id="rId135" Type="http://schemas.openxmlformats.org/officeDocument/2006/relationships/hyperlink" Target="https://www.lcsc.com/product-detail/C98220.html" TargetMode="External"/><Relationship Id="rId151" Type="http://schemas.openxmlformats.org/officeDocument/2006/relationships/hyperlink" Target="https://www.lcsc.com/product-detail/C137721.html" TargetMode="External"/><Relationship Id="rId13" Type="http://schemas.openxmlformats.org/officeDocument/2006/relationships/hyperlink" Target="https://www.lcsc.com/product-detail/C7593.html?s_z=n_ne555d" TargetMode="External"/><Relationship Id="rId18" Type="http://schemas.openxmlformats.org/officeDocument/2006/relationships/hyperlink" Target="https://www.lcsc.com/product-detail/C12345.html?s_z=n_stm32f407vgt" TargetMode="External"/><Relationship Id="rId39" Type="http://schemas.openxmlformats.org/officeDocument/2006/relationships/hyperlink" Target="https://www.lcsc.com/product-detail/C89120.html?s_z=s_Connectors%252C%2520Interconnects%257CTerminal%2520Blocks%257CWire%2520to%2520Board" TargetMode="External"/><Relationship Id="rId109" Type="http://schemas.openxmlformats.org/officeDocument/2006/relationships/hyperlink" Target="https://www.lcsc.com/product-detail/C513577.html" TargetMode="External"/><Relationship Id="rId34" Type="http://schemas.openxmlformats.org/officeDocument/2006/relationships/hyperlink" Target="https://www.lcsc.com/product-detail/C90755.html?s_z=n_SN74LV4T125-EP" TargetMode="External"/><Relationship Id="rId50" Type="http://schemas.openxmlformats.org/officeDocument/2006/relationships/hyperlink" Target="https://www.lcsc.com/product-detail/C380204.html" TargetMode="External"/><Relationship Id="rId55" Type="http://schemas.openxmlformats.org/officeDocument/2006/relationships/hyperlink" Target="https://www.lcsc.com/product-detail/C5443585.html" TargetMode="External"/><Relationship Id="rId76" Type="http://schemas.openxmlformats.org/officeDocument/2006/relationships/hyperlink" Target="https://www.lcsc.com/product-detail/C42431790.html" TargetMode="External"/><Relationship Id="rId97" Type="http://schemas.openxmlformats.org/officeDocument/2006/relationships/hyperlink" Target="https://www.lcsc.com/product-detail/C14663.html" TargetMode="External"/><Relationship Id="rId104" Type="http://schemas.openxmlformats.org/officeDocument/2006/relationships/hyperlink" Target="https://www.lcsc.com/product-detail/C15849.html" TargetMode="External"/><Relationship Id="rId120" Type="http://schemas.openxmlformats.org/officeDocument/2006/relationships/hyperlink" Target="https://www.lcsc.com/product-detail/C114640.html" TargetMode="External"/><Relationship Id="rId125" Type="http://schemas.openxmlformats.org/officeDocument/2006/relationships/hyperlink" Target="https://www.lcsc.com/product-detail/C114617.html" TargetMode="External"/><Relationship Id="rId141" Type="http://schemas.openxmlformats.org/officeDocument/2006/relationships/hyperlink" Target="https://www.lcsc.com/product-detail/C326758.html" TargetMode="External"/><Relationship Id="rId146" Type="http://schemas.openxmlformats.org/officeDocument/2006/relationships/hyperlink" Target="https://www.lcsc.com/product-detail/C105579.html" TargetMode="External"/><Relationship Id="rId7" Type="http://schemas.openxmlformats.org/officeDocument/2006/relationships/hyperlink" Target="https://www.lcsc.com/product-detail/C52801.html?s_z=n_bc817" TargetMode="External"/><Relationship Id="rId71" Type="http://schemas.openxmlformats.org/officeDocument/2006/relationships/hyperlink" Target="https://www.lcsc.com/product-detail/C144394.html" TargetMode="External"/><Relationship Id="rId92" Type="http://schemas.openxmlformats.org/officeDocument/2006/relationships/hyperlink" Target="https://www.lcsc.com/product-detail/C2313088.html" TargetMode="External"/><Relationship Id="rId2" Type="http://schemas.openxmlformats.org/officeDocument/2006/relationships/hyperlink" Target="https://www.lcsc.com/product-detail/C19077594.html?s_z=n_smbj64a" TargetMode="External"/><Relationship Id="rId29" Type="http://schemas.openxmlformats.org/officeDocument/2006/relationships/hyperlink" Target="https://www.lcsc.com/product-detail/C29841638.html" TargetMode="External"/><Relationship Id="rId24" Type="http://schemas.openxmlformats.org/officeDocument/2006/relationships/hyperlink" Target="https://www.lcsc.com/product-detail/C636891.html?s_z=n_tc4427xoa" TargetMode="External"/><Relationship Id="rId40" Type="http://schemas.openxmlformats.org/officeDocument/2006/relationships/hyperlink" Target="https://www.lcsc.com/product-detail/C89120.html?s_z=s_Connectors%252C%2520Interconnects%257CTerminal%2520Blocks%257CWire%2520to%2520Board" TargetMode="External"/><Relationship Id="rId45" Type="http://schemas.openxmlformats.org/officeDocument/2006/relationships/hyperlink" Target="https://www.lcsc.com/product-detail/C207026.html" TargetMode="External"/><Relationship Id="rId66" Type="http://schemas.openxmlformats.org/officeDocument/2006/relationships/hyperlink" Target="https://www.lcsc.com/product-detail/C191023.html?s_z=n_1n5819" TargetMode="External"/><Relationship Id="rId87" Type="http://schemas.openxmlformats.org/officeDocument/2006/relationships/hyperlink" Target="https://www.lcsc.com/product-detail/C382272.html" TargetMode="External"/><Relationship Id="rId110" Type="http://schemas.openxmlformats.org/officeDocument/2006/relationships/hyperlink" Target="https://www.lcsc.com/product-detail/C513577.html" TargetMode="External"/><Relationship Id="rId115" Type="http://schemas.openxmlformats.org/officeDocument/2006/relationships/hyperlink" Target="https://www.lcsc.com/product-detail/C397259.html?s_z=n_G2RL-1A-E" TargetMode="External"/><Relationship Id="rId131" Type="http://schemas.openxmlformats.org/officeDocument/2006/relationships/hyperlink" Target="https://www.lcsc.com/product-detail/C22548.html" TargetMode="External"/><Relationship Id="rId136" Type="http://schemas.openxmlformats.org/officeDocument/2006/relationships/hyperlink" Target="https://www.lcsc.com/product-detail/C98220.html" TargetMode="External"/><Relationship Id="rId61" Type="http://schemas.openxmlformats.org/officeDocument/2006/relationships/hyperlink" Target="https://www.lcsc.com/product-detail/C5355419.html?s_z=n_amicc%2520A-SP192D" TargetMode="External"/><Relationship Id="rId82" Type="http://schemas.openxmlformats.org/officeDocument/2006/relationships/hyperlink" Target="https://www.lcsc.com/product-detail/C42431866.html" TargetMode="External"/><Relationship Id="rId152" Type="http://schemas.openxmlformats.org/officeDocument/2006/relationships/hyperlink" Target="https://www.lcsc.com/product-detail/C137721.html" TargetMode="External"/><Relationship Id="rId19" Type="http://schemas.openxmlformats.org/officeDocument/2006/relationships/hyperlink" Target="https://www.lcsc.com/product-detail/C328952.html?s_z=n_tmc2130-TA" TargetMode="External"/><Relationship Id="rId14" Type="http://schemas.openxmlformats.org/officeDocument/2006/relationships/hyperlink" Target="https://www.lcsc.com/product-detail/C7593.html?s_z=n_ne555d" TargetMode="External"/><Relationship Id="rId30" Type="http://schemas.openxmlformats.org/officeDocument/2006/relationships/hyperlink" Target="https://www.lcsc.com/product-detail/C29841638.html" TargetMode="External"/><Relationship Id="rId35" Type="http://schemas.openxmlformats.org/officeDocument/2006/relationships/hyperlink" Target="https://www.lcsc.com/product-detail/C165948.html?s_z=n_TYPE-C-31-M" TargetMode="External"/><Relationship Id="rId56" Type="http://schemas.openxmlformats.org/officeDocument/2006/relationships/hyperlink" Target="https://www.lcsc.com/product-detail/C5443585.html" TargetMode="External"/><Relationship Id="rId77" Type="http://schemas.openxmlformats.org/officeDocument/2006/relationships/hyperlink" Target="https://www.lcsc.com/product-detail/C42431798.html" TargetMode="External"/><Relationship Id="rId100" Type="http://schemas.openxmlformats.org/officeDocument/2006/relationships/hyperlink" Target="https://www.lcsc.com/product-detail/C100042.html" TargetMode="External"/><Relationship Id="rId105" Type="http://schemas.openxmlformats.org/officeDocument/2006/relationships/hyperlink" Target="https://www.lcsc.com/product-detail/C346204.html" TargetMode="External"/><Relationship Id="rId126" Type="http://schemas.openxmlformats.org/officeDocument/2006/relationships/hyperlink" Target="https://www.lcsc.com/product-detail/C114617.html" TargetMode="External"/><Relationship Id="rId147" Type="http://schemas.openxmlformats.org/officeDocument/2006/relationships/hyperlink" Target="https://www.lcsc.com/product-detail/C19171307.html" TargetMode="External"/><Relationship Id="rId8" Type="http://schemas.openxmlformats.org/officeDocument/2006/relationships/hyperlink" Target="https://www.lcsc.com/product-detail/C52801.html?s_z=n_bc817" TargetMode="External"/><Relationship Id="rId51" Type="http://schemas.openxmlformats.org/officeDocument/2006/relationships/hyperlink" Target="https://www.lcsc.com/product-detail/C19272974.html" TargetMode="External"/><Relationship Id="rId72" Type="http://schemas.openxmlformats.org/officeDocument/2006/relationships/hyperlink" Target="https://www.lcsc.com/product-detail/C144394.html" TargetMode="External"/><Relationship Id="rId93" Type="http://schemas.openxmlformats.org/officeDocument/2006/relationships/hyperlink" Target="https://www.lcsc.com/product-detail/C694475.html" TargetMode="External"/><Relationship Id="rId98" Type="http://schemas.openxmlformats.org/officeDocument/2006/relationships/hyperlink" Target="https://www.lcsc.com/product-detail/C14663.html" TargetMode="External"/><Relationship Id="rId121" Type="http://schemas.openxmlformats.org/officeDocument/2006/relationships/hyperlink" Target="https://www.lcsc.com/product-detail/C109318.html" TargetMode="External"/><Relationship Id="rId142" Type="http://schemas.openxmlformats.org/officeDocument/2006/relationships/hyperlink" Target="https://www.lcsc.com/product-detail/C326758.html" TargetMode="External"/><Relationship Id="rId3" Type="http://schemas.openxmlformats.org/officeDocument/2006/relationships/hyperlink" Target="https://www.lcsc.com/product-detail/C917006.html?s_z=n_1n4148" TargetMode="External"/><Relationship Id="rId25" Type="http://schemas.openxmlformats.org/officeDocument/2006/relationships/hyperlink" Target="https://www.lcsc.com/product-detail/C7519.html?s_z=n_usblc6" TargetMode="External"/><Relationship Id="rId46" Type="http://schemas.openxmlformats.org/officeDocument/2006/relationships/hyperlink" Target="https://www.lcsc.com/product-detail/C207026.html" TargetMode="External"/><Relationship Id="rId67" Type="http://schemas.openxmlformats.org/officeDocument/2006/relationships/hyperlink" Target="https://www.lcsc.com/product-detail/C2873394.html?s_z=n_LM76005" TargetMode="External"/><Relationship Id="rId116" Type="http://schemas.openxmlformats.org/officeDocument/2006/relationships/hyperlink" Target="https://www.lcsc.com/product-detail/C397259.html?s_z=n_G2RL-1A-E" TargetMode="External"/><Relationship Id="rId137" Type="http://schemas.openxmlformats.org/officeDocument/2006/relationships/hyperlink" Target="https://www.lcsc.com/product-detail/C99782.html" TargetMode="External"/><Relationship Id="rId20" Type="http://schemas.openxmlformats.org/officeDocument/2006/relationships/hyperlink" Target="https://www.lcsc.com/product-detail/C328952.html?s_z=n_tmc2130-TA" TargetMode="External"/><Relationship Id="rId41" Type="http://schemas.openxmlformats.org/officeDocument/2006/relationships/hyperlink" Target="https://www.lcsc.com/product-detail/C19727305.html" TargetMode="External"/><Relationship Id="rId62" Type="http://schemas.openxmlformats.org/officeDocument/2006/relationships/hyperlink" Target="https://www.lcsc.com/product-detail/C5355419.html?s_z=n_amicc%2520A-SP192D" TargetMode="External"/><Relationship Id="rId83" Type="http://schemas.openxmlformats.org/officeDocument/2006/relationships/hyperlink" Target="https://www.lcsc.com/product-detail/C42431839.html" TargetMode="External"/><Relationship Id="rId88" Type="http://schemas.openxmlformats.org/officeDocument/2006/relationships/hyperlink" Target="https://www.lcsc.com/product-detail/C382272.html" TargetMode="External"/><Relationship Id="rId111" Type="http://schemas.openxmlformats.org/officeDocument/2006/relationships/hyperlink" Target="https://www.lcsc.com/product-detail/C913904.html" TargetMode="External"/><Relationship Id="rId132" Type="http://schemas.openxmlformats.org/officeDocument/2006/relationships/hyperlink" Target="https://www.lcsc.com/product-detail/C22548.html" TargetMode="External"/><Relationship Id="rId153" Type="http://schemas.openxmlformats.org/officeDocument/2006/relationships/hyperlink" Target="https://www.lcsc.com/product-detail/C245976.html" TargetMode="External"/><Relationship Id="rId15" Type="http://schemas.openxmlformats.org/officeDocument/2006/relationships/hyperlink" Target="https://www.lcsc.com/product-detail/C54624.html?s_z=n_stmps2141str" TargetMode="External"/><Relationship Id="rId36" Type="http://schemas.openxmlformats.org/officeDocument/2006/relationships/hyperlink" Target="https://www.lcsc.com/product-detail/C165948.html?s_z=n_TYPE-C-31-M" TargetMode="External"/><Relationship Id="rId57" Type="http://schemas.openxmlformats.org/officeDocument/2006/relationships/hyperlink" Target="https://www.lcsc.com/product-detail/C57316.html?s_z=n_nexperia%2520bc807-40%252C215" TargetMode="External"/><Relationship Id="rId106" Type="http://schemas.openxmlformats.org/officeDocument/2006/relationships/hyperlink" Target="https://www.lcsc.com/product-detail/C346204.html" TargetMode="External"/><Relationship Id="rId127" Type="http://schemas.openxmlformats.org/officeDocument/2006/relationships/hyperlink" Target="https://www.lcsc.com/product-detail/C114669.html" TargetMode="External"/><Relationship Id="rId10" Type="http://schemas.openxmlformats.org/officeDocument/2006/relationships/hyperlink" Target="https://www.lcsc.com/product-detail/C283259.html?s_z=n_BAT54KFILM" TargetMode="External"/><Relationship Id="rId31" Type="http://schemas.openxmlformats.org/officeDocument/2006/relationships/hyperlink" Target="https://www.lcsc.com/product-detail/C231318.html?s_z=n_st%2520omron%2520b3f%2520315" TargetMode="External"/><Relationship Id="rId52" Type="http://schemas.openxmlformats.org/officeDocument/2006/relationships/hyperlink" Target="https://www.lcsc.com/product-detail/C19272974.html" TargetMode="External"/><Relationship Id="rId73" Type="http://schemas.openxmlformats.org/officeDocument/2006/relationships/hyperlink" Target="https://www.lcsc.com/product-detail/C144395.html" TargetMode="External"/><Relationship Id="rId78" Type="http://schemas.openxmlformats.org/officeDocument/2006/relationships/hyperlink" Target="https://www.lcsc.com/product-detail/C42431798.html" TargetMode="External"/><Relationship Id="rId94" Type="http://schemas.openxmlformats.org/officeDocument/2006/relationships/hyperlink" Target="https://www.lcsc.com/product-detail/C76612.html" TargetMode="External"/><Relationship Id="rId99" Type="http://schemas.openxmlformats.org/officeDocument/2006/relationships/hyperlink" Target="https://www.lcsc.com/product-detail/C100042.html" TargetMode="External"/><Relationship Id="rId101" Type="http://schemas.openxmlformats.org/officeDocument/2006/relationships/hyperlink" Target="https://www.lcsc.com/product-detail/C106222.html" TargetMode="External"/><Relationship Id="rId122" Type="http://schemas.openxmlformats.org/officeDocument/2006/relationships/hyperlink" Target="https://www.lcsc.com/product-detail/C109318.html" TargetMode="External"/><Relationship Id="rId143" Type="http://schemas.openxmlformats.org/officeDocument/2006/relationships/hyperlink" Target="https://www.lcsc.com/product-detail/C105580.html" TargetMode="External"/><Relationship Id="rId148" Type="http://schemas.openxmlformats.org/officeDocument/2006/relationships/hyperlink" Target="https://www.lcsc.com/product-detail/C19171307.html" TargetMode="External"/><Relationship Id="rId4" Type="http://schemas.openxmlformats.org/officeDocument/2006/relationships/hyperlink" Target="https://www.lcsc.com/product-detail/C917006.html?s_z=n_1n4148" TargetMode="External"/><Relationship Id="rId9" Type="http://schemas.openxmlformats.org/officeDocument/2006/relationships/hyperlink" Target="https://www.lcsc.com/product-detail/C283259.html?s_z=n_BAT54KFILM" TargetMode="External"/><Relationship Id="rId26" Type="http://schemas.openxmlformats.org/officeDocument/2006/relationships/hyperlink" Target="https://www.lcsc.com/product-detail/C7519.html?s_z=n_usblc6" TargetMode="External"/><Relationship Id="rId47" Type="http://schemas.openxmlformats.org/officeDocument/2006/relationships/hyperlink" Target="https://www.lcsc.com/product-detail/C3661685.html" TargetMode="External"/><Relationship Id="rId68" Type="http://schemas.openxmlformats.org/officeDocument/2006/relationships/hyperlink" Target="https://www.lcsc.com/product-detail/C2873394.html?s_z=n_LM76005" TargetMode="External"/><Relationship Id="rId89" Type="http://schemas.openxmlformats.org/officeDocument/2006/relationships/hyperlink" Target="https://www.lcsc.com/product-detail/C1952898.html?s_z=n_593D227X0010E2TE3" TargetMode="External"/><Relationship Id="rId112" Type="http://schemas.openxmlformats.org/officeDocument/2006/relationships/hyperlink" Target="https://www.lcsc.com/product-detail/C913904.html" TargetMode="External"/><Relationship Id="rId133" Type="http://schemas.openxmlformats.org/officeDocument/2006/relationships/hyperlink" Target="https://www.lcsc.com/product-detail/C185354.html" TargetMode="External"/><Relationship Id="rId154" Type="http://schemas.openxmlformats.org/officeDocument/2006/relationships/hyperlink" Target="https://www.lcsc.com/product-detail/C245976.html" TargetMode="External"/><Relationship Id="rId16" Type="http://schemas.openxmlformats.org/officeDocument/2006/relationships/hyperlink" Target="https://www.lcsc.com/product-detail/C54624.html?s_z=n_stmps2141str" TargetMode="External"/><Relationship Id="rId37" Type="http://schemas.openxmlformats.org/officeDocument/2006/relationships/hyperlink" Target="https://www.lcsc.com/product-detail/C86469.html?s_z=n_faston" TargetMode="External"/><Relationship Id="rId58" Type="http://schemas.openxmlformats.org/officeDocument/2006/relationships/hyperlink" Target="https://www.lcsc.com/product-detail/C57316.html?s_z=n_nexperia%2520bc807-40%252C215" TargetMode="External"/><Relationship Id="rId79" Type="http://schemas.openxmlformats.org/officeDocument/2006/relationships/hyperlink" Target="https://www.lcsc.com/product-detail/C42431844.html" TargetMode="External"/><Relationship Id="rId102" Type="http://schemas.openxmlformats.org/officeDocument/2006/relationships/hyperlink" Target="https://www.lcsc.com/product-detail/C106222.html" TargetMode="External"/><Relationship Id="rId123" Type="http://schemas.openxmlformats.org/officeDocument/2006/relationships/hyperlink" Target="https://www.lcsc.com/product-detail/C96347.html" TargetMode="External"/><Relationship Id="rId144" Type="http://schemas.openxmlformats.org/officeDocument/2006/relationships/hyperlink" Target="https://www.lcsc.com/product-detail/C105580.html" TargetMode="External"/><Relationship Id="rId90" Type="http://schemas.openxmlformats.org/officeDocument/2006/relationships/hyperlink" Target="https://www.lcsc.com/product-detail/C1952898.html?s_z=n_593D227X0010E2TE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12B2-2926-4CFE-BA44-A80109AC1CFC}">
  <dimension ref="A1:AE110"/>
  <sheetViews>
    <sheetView tabSelected="1" topLeftCell="A7" zoomScaleNormal="100" workbookViewId="0">
      <selection activeCell="B22" sqref="B22"/>
    </sheetView>
  </sheetViews>
  <sheetFormatPr defaultRowHeight="15" x14ac:dyDescent="0.25"/>
  <cols>
    <col min="1" max="1" width="23.7109375" customWidth="1"/>
    <col min="2" max="2" width="6.28515625" style="2" customWidth="1"/>
    <col min="3" max="3" width="35.7109375" style="3" customWidth="1"/>
    <col min="4" max="6" width="4.7109375" customWidth="1"/>
    <col min="7" max="7" width="72.42578125" customWidth="1"/>
    <col min="8" max="8" width="33.42578125" style="3" customWidth="1"/>
    <col min="9" max="9" width="35.42578125" customWidth="1"/>
    <col min="10" max="11" width="15.7109375" style="2" customWidth="1"/>
    <col min="12" max="12" width="10.7109375" style="2" customWidth="1"/>
    <col min="13" max="13" width="10.85546875" customWidth="1"/>
    <col min="14" max="14" width="12.140625" customWidth="1"/>
    <col min="15" max="15" width="27" customWidth="1"/>
    <col min="18" max="18" width="13.7109375" style="2" customWidth="1"/>
    <col min="19" max="19" width="29.5703125" style="3" customWidth="1"/>
    <col min="22" max="22" width="15.7109375" customWidth="1"/>
    <col min="25" max="25" width="16.140625" customWidth="1"/>
  </cols>
  <sheetData>
    <row r="1" spans="1:31" x14ac:dyDescent="0.25">
      <c r="A1" s="6" t="s">
        <v>113</v>
      </c>
      <c r="B1" s="7" t="s">
        <v>114</v>
      </c>
      <c r="C1" s="5" t="s">
        <v>112</v>
      </c>
      <c r="D1" s="6" t="s">
        <v>115</v>
      </c>
      <c r="E1" s="6" t="s">
        <v>116</v>
      </c>
      <c r="F1" s="6" t="s">
        <v>117</v>
      </c>
      <c r="G1" s="6" t="s">
        <v>118</v>
      </c>
      <c r="H1" s="5" t="s">
        <v>4</v>
      </c>
      <c r="I1" s="5" t="s">
        <v>2</v>
      </c>
      <c r="J1" s="6" t="s">
        <v>0</v>
      </c>
      <c r="K1" s="6" t="s">
        <v>137</v>
      </c>
      <c r="L1" s="15" t="s">
        <v>5</v>
      </c>
      <c r="M1" s="7" t="s">
        <v>28</v>
      </c>
      <c r="N1" t="s">
        <v>415</v>
      </c>
      <c r="O1" t="s">
        <v>416</v>
      </c>
      <c r="R1"/>
      <c r="S1"/>
    </row>
    <row r="2" spans="1:31" x14ac:dyDescent="0.25">
      <c r="A2" s="4" t="s">
        <v>331</v>
      </c>
      <c r="B2" s="4">
        <v>52</v>
      </c>
      <c r="C2" s="4" t="s">
        <v>106</v>
      </c>
      <c r="D2" s="4">
        <v>1</v>
      </c>
      <c r="E2" s="4"/>
      <c r="F2" s="4"/>
      <c r="G2" s="4" t="s">
        <v>332</v>
      </c>
      <c r="H2" s="4" t="s">
        <v>315</v>
      </c>
      <c r="I2" s="10" t="s">
        <v>313</v>
      </c>
      <c r="J2" s="10" t="s">
        <v>314</v>
      </c>
      <c r="K2" s="9">
        <f>B2*2</f>
        <v>104</v>
      </c>
      <c r="L2" s="9">
        <v>200</v>
      </c>
      <c r="M2" s="11">
        <v>0.44</v>
      </c>
      <c r="R2"/>
      <c r="S2"/>
      <c r="Z2" s="2" t="s">
        <v>101</v>
      </c>
      <c r="AA2" s="2" t="s">
        <v>95</v>
      </c>
      <c r="AB2" s="2" t="s">
        <v>96</v>
      </c>
      <c r="AC2" s="2" t="s">
        <v>97</v>
      </c>
      <c r="AD2" s="2" t="s">
        <v>89</v>
      </c>
      <c r="AE2" s="2" t="s">
        <v>90</v>
      </c>
    </row>
    <row r="3" spans="1:31" x14ac:dyDescent="0.25">
      <c r="A3" s="4" t="s">
        <v>333</v>
      </c>
      <c r="B3" s="4">
        <v>11</v>
      </c>
      <c r="C3" s="4" t="s">
        <v>417</v>
      </c>
      <c r="D3" s="4">
        <v>2</v>
      </c>
      <c r="E3" s="4"/>
      <c r="F3" s="4"/>
      <c r="G3" s="4" t="s">
        <v>334</v>
      </c>
      <c r="H3" s="8" t="s">
        <v>328</v>
      </c>
      <c r="I3" s="10" t="s">
        <v>329</v>
      </c>
      <c r="J3" s="10" t="s">
        <v>330</v>
      </c>
      <c r="K3" s="9">
        <f t="shared" ref="K3:K66" si="0">B3*2</f>
        <v>22</v>
      </c>
      <c r="L3" s="9">
        <v>50</v>
      </c>
      <c r="M3" s="11">
        <v>0.88</v>
      </c>
      <c r="R3"/>
      <c r="S3"/>
      <c r="Y3" s="8" t="s">
        <v>88</v>
      </c>
      <c r="Z3" s="9">
        <v>3.3</v>
      </c>
      <c r="AA3" s="9">
        <v>1.6</v>
      </c>
      <c r="AB3" s="9">
        <v>2.1</v>
      </c>
      <c r="AC3" s="9">
        <f>(AA3+AB3)/2</f>
        <v>1.85</v>
      </c>
      <c r="AD3" s="9">
        <v>5</v>
      </c>
      <c r="AE3" s="9">
        <f>(Z3-AC3)/(AD3/1000)</f>
        <v>289.99999999999994</v>
      </c>
    </row>
    <row r="4" spans="1:31" x14ac:dyDescent="0.25">
      <c r="A4" s="4" t="s">
        <v>335</v>
      </c>
      <c r="B4" s="4">
        <v>2</v>
      </c>
      <c r="C4" s="4" t="s">
        <v>336</v>
      </c>
      <c r="D4" s="4">
        <v>3</v>
      </c>
      <c r="E4" s="4"/>
      <c r="F4" s="4"/>
      <c r="G4" s="4" t="s">
        <v>334</v>
      </c>
      <c r="H4" s="4" t="s">
        <v>305</v>
      </c>
      <c r="I4" s="4" t="s">
        <v>293</v>
      </c>
      <c r="J4" s="10" t="s">
        <v>292</v>
      </c>
      <c r="K4" s="9">
        <f t="shared" si="0"/>
        <v>4</v>
      </c>
      <c r="L4" s="9">
        <v>5</v>
      </c>
      <c r="M4" s="11">
        <v>0.26</v>
      </c>
      <c r="R4"/>
      <c r="S4"/>
      <c r="Y4" s="8" t="s">
        <v>1</v>
      </c>
      <c r="Z4" s="9">
        <v>3.3</v>
      </c>
      <c r="AA4" s="9">
        <v>2.6</v>
      </c>
      <c r="AB4" s="9">
        <v>3.2</v>
      </c>
      <c r="AC4" s="9">
        <f t="shared" ref="AC4:AC6" si="1">(AA4+AB4)/2</f>
        <v>2.9000000000000004</v>
      </c>
      <c r="AD4" s="9">
        <v>5</v>
      </c>
      <c r="AE4" s="9">
        <f t="shared" ref="AE4:AE6" si="2">(Z4-AC4)/(AD4/1000)</f>
        <v>79.999999999999886</v>
      </c>
    </row>
    <row r="5" spans="1:31" x14ac:dyDescent="0.25">
      <c r="A5" s="4" t="s">
        <v>108</v>
      </c>
      <c r="B5" s="4">
        <v>1</v>
      </c>
      <c r="C5" s="4" t="s">
        <v>418</v>
      </c>
      <c r="D5" s="4">
        <v>4</v>
      </c>
      <c r="E5" s="4"/>
      <c r="F5" s="4"/>
      <c r="G5" s="4" t="s">
        <v>337</v>
      </c>
      <c r="H5" s="4" t="s">
        <v>306</v>
      </c>
      <c r="I5" s="10" t="s">
        <v>290</v>
      </c>
      <c r="J5" s="10" t="s">
        <v>291</v>
      </c>
      <c r="K5" s="9">
        <f t="shared" si="0"/>
        <v>2</v>
      </c>
      <c r="L5" s="9">
        <v>2</v>
      </c>
      <c r="M5" s="11">
        <v>0.85</v>
      </c>
      <c r="R5"/>
      <c r="S5"/>
      <c r="Y5" s="8" t="s">
        <v>3</v>
      </c>
      <c r="Z5" s="9">
        <v>3.3</v>
      </c>
      <c r="AA5" s="9">
        <v>2.4</v>
      </c>
      <c r="AB5" s="9">
        <v>3</v>
      </c>
      <c r="AC5" s="9">
        <f t="shared" si="1"/>
        <v>2.7</v>
      </c>
      <c r="AD5" s="9">
        <v>5</v>
      </c>
      <c r="AE5" s="9">
        <f t="shared" si="2"/>
        <v>119.99999999999993</v>
      </c>
    </row>
    <row r="6" spans="1:31" x14ac:dyDescent="0.25">
      <c r="A6" s="4" t="s">
        <v>338</v>
      </c>
      <c r="B6" s="4">
        <v>1</v>
      </c>
      <c r="C6" s="4" t="s">
        <v>339</v>
      </c>
      <c r="D6" s="4">
        <v>5</v>
      </c>
      <c r="E6" s="4"/>
      <c r="F6" s="4"/>
      <c r="G6" s="4" t="s">
        <v>340</v>
      </c>
      <c r="H6" s="4" t="s">
        <v>308</v>
      </c>
      <c r="I6" s="4" t="s">
        <v>295</v>
      </c>
      <c r="J6" s="10" t="s">
        <v>294</v>
      </c>
      <c r="K6" s="9">
        <f t="shared" si="0"/>
        <v>2</v>
      </c>
      <c r="L6" s="9">
        <v>3</v>
      </c>
      <c r="M6" s="11">
        <v>1.28</v>
      </c>
      <c r="R6"/>
      <c r="S6"/>
      <c r="Y6" s="8" t="s">
        <v>98</v>
      </c>
      <c r="Z6" s="9">
        <v>3.3</v>
      </c>
      <c r="AA6" s="9">
        <v>2.2999999999999998</v>
      </c>
      <c r="AB6" s="9">
        <v>2.2999999999999998</v>
      </c>
      <c r="AC6" s="9">
        <f t="shared" si="1"/>
        <v>2.2999999999999998</v>
      </c>
      <c r="AD6" s="9">
        <v>5</v>
      </c>
      <c r="AE6" s="9">
        <f t="shared" si="2"/>
        <v>200</v>
      </c>
    </row>
    <row r="7" spans="1:31" x14ac:dyDescent="0.25">
      <c r="A7" s="4" t="s">
        <v>341</v>
      </c>
      <c r="B7" s="4">
        <v>1</v>
      </c>
      <c r="C7" s="4" t="s">
        <v>419</v>
      </c>
      <c r="D7" s="4">
        <v>6</v>
      </c>
      <c r="E7" s="4"/>
      <c r="F7" s="4"/>
      <c r="G7" s="4" t="s">
        <v>340</v>
      </c>
      <c r="H7" s="4" t="s">
        <v>304</v>
      </c>
      <c r="I7" s="4" t="s">
        <v>297</v>
      </c>
      <c r="J7" s="10" t="s">
        <v>296</v>
      </c>
      <c r="K7" s="9">
        <f t="shared" si="0"/>
        <v>2</v>
      </c>
      <c r="L7" s="9">
        <v>5</v>
      </c>
      <c r="M7" s="11">
        <v>1.97</v>
      </c>
      <c r="R7"/>
      <c r="S7"/>
      <c r="Y7" s="8" t="s">
        <v>88</v>
      </c>
      <c r="Z7" s="9">
        <v>5</v>
      </c>
      <c r="AA7" s="9">
        <v>1.6</v>
      </c>
      <c r="AB7" s="9">
        <v>2.1</v>
      </c>
      <c r="AC7" s="9">
        <f>(AA7+AB7)/2</f>
        <v>1.85</v>
      </c>
      <c r="AD7" s="9">
        <v>5</v>
      </c>
      <c r="AE7" s="9">
        <f>(Z7-AC7)/(AD7/1000)</f>
        <v>630</v>
      </c>
    </row>
    <row r="8" spans="1:31" x14ac:dyDescent="0.25">
      <c r="A8" s="4" t="s">
        <v>342</v>
      </c>
      <c r="B8" s="4">
        <v>1</v>
      </c>
      <c r="C8" s="4" t="s">
        <v>420</v>
      </c>
      <c r="D8" s="4">
        <v>7</v>
      </c>
      <c r="E8" s="4"/>
      <c r="F8" s="4"/>
      <c r="G8" s="4" t="s">
        <v>332</v>
      </c>
      <c r="H8" s="4" t="s">
        <v>307</v>
      </c>
      <c r="I8" s="4" t="s">
        <v>299</v>
      </c>
      <c r="J8" s="10" t="s">
        <v>298</v>
      </c>
      <c r="K8" s="9">
        <f t="shared" si="0"/>
        <v>2</v>
      </c>
      <c r="L8" s="9">
        <v>5</v>
      </c>
      <c r="M8" s="11">
        <v>0.16</v>
      </c>
      <c r="R8"/>
      <c r="S8"/>
      <c r="Y8" s="8" t="s">
        <v>1</v>
      </c>
      <c r="Z8" s="9">
        <v>5</v>
      </c>
      <c r="AA8" s="9">
        <v>2.6</v>
      </c>
      <c r="AB8" s="9">
        <v>3.2</v>
      </c>
      <c r="AC8" s="9">
        <f t="shared" ref="AC8:AC9" si="3">(AA8+AB8)/2</f>
        <v>2.9000000000000004</v>
      </c>
      <c r="AD8" s="9">
        <v>5</v>
      </c>
      <c r="AE8" s="9">
        <f t="shared" ref="AE8:AE9" si="4">(Z8-AC8)/(AD8/1000)</f>
        <v>419.99999999999994</v>
      </c>
    </row>
    <row r="9" spans="1:31" x14ac:dyDescent="0.25">
      <c r="A9" s="4" t="s">
        <v>343</v>
      </c>
      <c r="B9" s="4">
        <v>7</v>
      </c>
      <c r="C9" s="4" t="s">
        <v>421</v>
      </c>
      <c r="D9" s="4">
        <v>8</v>
      </c>
      <c r="E9" s="4"/>
      <c r="F9" s="4"/>
      <c r="G9" s="4" t="s">
        <v>344</v>
      </c>
      <c r="H9" s="4" t="s">
        <v>312</v>
      </c>
      <c r="I9" s="10" t="s">
        <v>50</v>
      </c>
      <c r="J9" s="10" t="s">
        <v>413</v>
      </c>
      <c r="K9" s="9">
        <f t="shared" si="0"/>
        <v>14</v>
      </c>
      <c r="L9" s="9">
        <v>20</v>
      </c>
      <c r="M9" s="11">
        <v>1.75</v>
      </c>
      <c r="R9"/>
      <c r="S9"/>
      <c r="Y9" s="8" t="s">
        <v>3</v>
      </c>
      <c r="Z9" s="9">
        <v>5</v>
      </c>
      <c r="AA9" s="9">
        <v>2.4</v>
      </c>
      <c r="AB9" s="9">
        <v>3</v>
      </c>
      <c r="AC9" s="9">
        <f t="shared" ref="AC9" si="5">(AA9+AB9)/2</f>
        <v>2.7</v>
      </c>
      <c r="AD9" s="9">
        <v>5</v>
      </c>
      <c r="AE9" s="9">
        <f t="shared" ref="AE9" si="6">(Z9-AC9)/(AD9/1000)</f>
        <v>459.99999999999994</v>
      </c>
    </row>
    <row r="10" spans="1:31" x14ac:dyDescent="0.25">
      <c r="A10" s="4" t="s">
        <v>345</v>
      </c>
      <c r="B10" s="4">
        <v>2</v>
      </c>
      <c r="C10" s="4" t="s">
        <v>422</v>
      </c>
      <c r="D10" s="4">
        <v>9</v>
      </c>
      <c r="E10" s="4"/>
      <c r="F10" s="4"/>
      <c r="G10" s="4" t="s">
        <v>346</v>
      </c>
      <c r="H10" s="4" t="s">
        <v>311</v>
      </c>
      <c r="I10" s="10" t="s">
        <v>309</v>
      </c>
      <c r="J10" s="10" t="s">
        <v>310</v>
      </c>
      <c r="K10" s="9">
        <f t="shared" si="0"/>
        <v>4</v>
      </c>
      <c r="L10" s="9">
        <v>5</v>
      </c>
      <c r="M10" s="11">
        <v>0.64</v>
      </c>
      <c r="R10"/>
      <c r="S10"/>
      <c r="Y10" s="8" t="s">
        <v>98</v>
      </c>
      <c r="Z10" s="9">
        <v>5</v>
      </c>
      <c r="AA10" s="9">
        <v>2.2999999999999998</v>
      </c>
      <c r="AB10" s="9">
        <v>2.2999999999999998</v>
      </c>
      <c r="AC10" s="9">
        <f>(AA10+AB10)/2</f>
        <v>2.2999999999999998</v>
      </c>
      <c r="AD10" s="9">
        <v>5</v>
      </c>
      <c r="AE10" s="9">
        <f>(Z10-AC10)/(AD10/1000)</f>
        <v>540</v>
      </c>
    </row>
    <row r="11" spans="1:31" x14ac:dyDescent="0.25">
      <c r="A11" s="4" t="s">
        <v>347</v>
      </c>
      <c r="B11" s="4">
        <v>1</v>
      </c>
      <c r="C11" s="4" t="s">
        <v>109</v>
      </c>
      <c r="D11" s="4">
        <v>10</v>
      </c>
      <c r="E11" s="4"/>
      <c r="F11" s="4"/>
      <c r="G11" s="4" t="s">
        <v>332</v>
      </c>
      <c r="H11" s="4" t="s">
        <v>327</v>
      </c>
      <c r="I11" s="10" t="s">
        <v>316</v>
      </c>
      <c r="J11" s="10" t="s">
        <v>317</v>
      </c>
      <c r="K11" s="9">
        <f t="shared" si="0"/>
        <v>2</v>
      </c>
      <c r="L11" s="9">
        <v>100</v>
      </c>
      <c r="M11" s="11">
        <v>0.2</v>
      </c>
      <c r="R11"/>
      <c r="S11"/>
    </row>
    <row r="12" spans="1:31" x14ac:dyDescent="0.25">
      <c r="A12" s="4" t="s">
        <v>348</v>
      </c>
      <c r="B12" s="4">
        <v>5</v>
      </c>
      <c r="C12" s="4" t="s">
        <v>107</v>
      </c>
      <c r="D12" s="4">
        <v>11</v>
      </c>
      <c r="E12" s="4"/>
      <c r="F12" s="4"/>
      <c r="G12" s="4" t="s">
        <v>332</v>
      </c>
      <c r="H12" s="4" t="s">
        <v>371</v>
      </c>
      <c r="I12" s="10" t="s">
        <v>369</v>
      </c>
      <c r="J12" s="10" t="s">
        <v>370</v>
      </c>
      <c r="K12" s="9">
        <f t="shared" si="0"/>
        <v>10</v>
      </c>
      <c r="L12" s="9">
        <v>50</v>
      </c>
      <c r="M12" s="16">
        <v>0.38</v>
      </c>
      <c r="R12"/>
      <c r="S12"/>
    </row>
    <row r="13" spans="1:31" x14ac:dyDescent="0.25">
      <c r="A13" s="4" t="s">
        <v>349</v>
      </c>
      <c r="B13" s="4">
        <v>5</v>
      </c>
      <c r="C13" s="4" t="s">
        <v>110</v>
      </c>
      <c r="D13" s="4">
        <v>12</v>
      </c>
      <c r="E13" s="4"/>
      <c r="F13" s="4"/>
      <c r="G13" s="4" t="s">
        <v>332</v>
      </c>
      <c r="H13" s="4" t="s">
        <v>325</v>
      </c>
      <c r="I13" s="10" t="s">
        <v>318</v>
      </c>
      <c r="J13" s="10" t="s">
        <v>319</v>
      </c>
      <c r="K13" s="9">
        <f t="shared" si="0"/>
        <v>10</v>
      </c>
      <c r="L13" s="9">
        <v>100</v>
      </c>
      <c r="M13" s="11">
        <v>0.27</v>
      </c>
      <c r="R13"/>
      <c r="S13"/>
    </row>
    <row r="14" spans="1:31" x14ac:dyDescent="0.25">
      <c r="A14" s="4" t="s">
        <v>350</v>
      </c>
      <c r="B14" s="4">
        <v>2</v>
      </c>
      <c r="C14" s="4" t="s">
        <v>423</v>
      </c>
      <c r="D14" s="4">
        <v>13</v>
      </c>
      <c r="E14" s="4"/>
      <c r="F14" s="4"/>
      <c r="G14" s="4" t="s">
        <v>332</v>
      </c>
      <c r="H14" s="4" t="s">
        <v>326</v>
      </c>
      <c r="I14" s="10" t="s">
        <v>320</v>
      </c>
      <c r="J14" s="10" t="s">
        <v>321</v>
      </c>
      <c r="K14" s="9">
        <f t="shared" si="0"/>
        <v>4</v>
      </c>
      <c r="L14" s="9">
        <v>50</v>
      </c>
      <c r="M14" s="11">
        <v>0.22</v>
      </c>
      <c r="R14"/>
      <c r="S14"/>
    </row>
    <row r="15" spans="1:31" x14ac:dyDescent="0.25">
      <c r="A15" s="4" t="s">
        <v>351</v>
      </c>
      <c r="B15" s="4">
        <v>2</v>
      </c>
      <c r="C15" s="4" t="s">
        <v>111</v>
      </c>
      <c r="D15" s="4">
        <v>14</v>
      </c>
      <c r="E15" s="4"/>
      <c r="F15" s="4"/>
      <c r="G15" s="4" t="s">
        <v>332</v>
      </c>
      <c r="H15" s="4" t="s">
        <v>324</v>
      </c>
      <c r="I15" s="10" t="s">
        <v>322</v>
      </c>
      <c r="J15" s="10" t="s">
        <v>323</v>
      </c>
      <c r="K15" s="9">
        <f t="shared" si="0"/>
        <v>4</v>
      </c>
      <c r="L15" s="9">
        <v>50</v>
      </c>
      <c r="M15" s="11">
        <v>0.44</v>
      </c>
      <c r="R15"/>
      <c r="S15"/>
    </row>
    <row r="16" spans="1:31" x14ac:dyDescent="0.25">
      <c r="A16" s="4" t="s">
        <v>352</v>
      </c>
      <c r="B16" s="4">
        <v>2</v>
      </c>
      <c r="C16" s="4" t="s">
        <v>424</v>
      </c>
      <c r="D16" s="4">
        <v>15</v>
      </c>
      <c r="E16" s="4"/>
      <c r="F16" s="4"/>
      <c r="G16" s="4" t="s">
        <v>332</v>
      </c>
      <c r="H16" s="4" t="s">
        <v>374</v>
      </c>
      <c r="I16" s="10" t="s">
        <v>372</v>
      </c>
      <c r="J16" s="10" t="s">
        <v>373</v>
      </c>
      <c r="K16" s="9">
        <f t="shared" si="0"/>
        <v>4</v>
      </c>
      <c r="L16" s="9">
        <v>50</v>
      </c>
      <c r="M16" s="11">
        <v>0.96</v>
      </c>
      <c r="O16" s="1"/>
      <c r="R16"/>
      <c r="S16"/>
      <c r="T16" s="1"/>
    </row>
    <row r="17" spans="1:20" x14ac:dyDescent="0.25">
      <c r="A17" s="4" t="s">
        <v>119</v>
      </c>
      <c r="B17" s="4">
        <v>2</v>
      </c>
      <c r="C17" s="4" t="s">
        <v>120</v>
      </c>
      <c r="D17" s="4">
        <v>16</v>
      </c>
      <c r="E17" s="4"/>
      <c r="F17" s="4"/>
      <c r="G17" s="4" t="s">
        <v>121</v>
      </c>
      <c r="H17" s="8" t="s">
        <v>88</v>
      </c>
      <c r="I17" s="10" t="s">
        <v>411</v>
      </c>
      <c r="J17" s="10" t="s">
        <v>412</v>
      </c>
      <c r="K17" s="9">
        <f t="shared" si="0"/>
        <v>4</v>
      </c>
      <c r="L17" s="9">
        <v>20</v>
      </c>
      <c r="M17" s="11">
        <v>0.38</v>
      </c>
      <c r="R17"/>
      <c r="S17"/>
    </row>
    <row r="18" spans="1:20" x14ac:dyDescent="0.25">
      <c r="A18" s="4" t="s">
        <v>122</v>
      </c>
      <c r="B18" s="4">
        <v>1</v>
      </c>
      <c r="C18" s="4" t="s">
        <v>80</v>
      </c>
      <c r="D18" s="4">
        <v>17</v>
      </c>
      <c r="E18" s="4"/>
      <c r="F18" s="4"/>
      <c r="G18" s="4" t="s">
        <v>123</v>
      </c>
      <c r="H18" s="8" t="s">
        <v>104</v>
      </c>
      <c r="I18" s="12" t="s">
        <v>80</v>
      </c>
      <c r="J18" s="13" t="s">
        <v>81</v>
      </c>
      <c r="K18" s="9">
        <f t="shared" si="0"/>
        <v>2</v>
      </c>
      <c r="L18" s="9">
        <v>10</v>
      </c>
      <c r="M18" s="11">
        <v>0.5</v>
      </c>
      <c r="R18"/>
      <c r="S18"/>
    </row>
    <row r="19" spans="1:20" x14ac:dyDescent="0.25">
      <c r="A19" s="4" t="s">
        <v>124</v>
      </c>
      <c r="B19" s="4">
        <v>2</v>
      </c>
      <c r="C19" s="4" t="s">
        <v>125</v>
      </c>
      <c r="D19" s="4">
        <v>18</v>
      </c>
      <c r="E19" s="4"/>
      <c r="F19" s="4"/>
      <c r="G19" s="4" t="s">
        <v>121</v>
      </c>
      <c r="H19" s="8" t="s">
        <v>3</v>
      </c>
      <c r="I19" s="10" t="s">
        <v>91</v>
      </c>
      <c r="J19" s="10" t="s">
        <v>92</v>
      </c>
      <c r="K19" s="9">
        <f t="shared" si="0"/>
        <v>4</v>
      </c>
      <c r="L19" s="9">
        <v>20</v>
      </c>
      <c r="M19" s="14">
        <v>0.56000000000000005</v>
      </c>
      <c r="R19"/>
      <c r="S19"/>
    </row>
    <row r="20" spans="1:20" x14ac:dyDescent="0.25">
      <c r="A20" s="4" t="s">
        <v>126</v>
      </c>
      <c r="B20" s="4">
        <v>4</v>
      </c>
      <c r="C20" s="4" t="s">
        <v>6</v>
      </c>
      <c r="D20" s="4">
        <v>19</v>
      </c>
      <c r="E20" s="4"/>
      <c r="F20" s="4"/>
      <c r="G20" s="4" t="s">
        <v>127</v>
      </c>
      <c r="H20" s="8" t="s">
        <v>102</v>
      </c>
      <c r="I20" s="12" t="s">
        <v>6</v>
      </c>
      <c r="J20" s="13" t="s">
        <v>7</v>
      </c>
      <c r="K20" s="9">
        <f t="shared" si="0"/>
        <v>8</v>
      </c>
      <c r="L20" s="9">
        <v>10</v>
      </c>
      <c r="M20" s="11">
        <v>0.4</v>
      </c>
      <c r="R20"/>
      <c r="S20"/>
    </row>
    <row r="21" spans="1:20" x14ac:dyDescent="0.25">
      <c r="A21" s="4" t="s">
        <v>128</v>
      </c>
      <c r="B21" s="4">
        <v>4</v>
      </c>
      <c r="C21" s="4" t="s">
        <v>129</v>
      </c>
      <c r="D21" s="4">
        <v>20</v>
      </c>
      <c r="E21" s="4"/>
      <c r="F21" s="4"/>
      <c r="G21" s="4" t="s">
        <v>121</v>
      </c>
      <c r="H21" s="8" t="s">
        <v>1</v>
      </c>
      <c r="I21" s="10" t="s">
        <v>93</v>
      </c>
      <c r="J21" s="10" t="s">
        <v>94</v>
      </c>
      <c r="K21" s="9">
        <f t="shared" si="0"/>
        <v>8</v>
      </c>
      <c r="L21" s="9">
        <v>20</v>
      </c>
      <c r="M21" s="14">
        <v>0.44</v>
      </c>
      <c r="R21"/>
      <c r="S21"/>
    </row>
    <row r="22" spans="1:20" x14ac:dyDescent="0.25">
      <c r="A22" s="4" t="s">
        <v>130</v>
      </c>
      <c r="B22" s="4">
        <v>4</v>
      </c>
      <c r="C22" s="4" t="s">
        <v>131</v>
      </c>
      <c r="D22" s="4">
        <v>21</v>
      </c>
      <c r="E22" s="4"/>
      <c r="F22" s="4"/>
      <c r="G22" s="4" t="s">
        <v>121</v>
      </c>
      <c r="H22" s="8" t="s">
        <v>98</v>
      </c>
      <c r="I22" s="10" t="s">
        <v>99</v>
      </c>
      <c r="J22" s="10" t="s">
        <v>100</v>
      </c>
      <c r="K22" s="9">
        <f t="shared" si="0"/>
        <v>8</v>
      </c>
      <c r="L22" s="9">
        <v>20</v>
      </c>
      <c r="M22" s="11">
        <v>0.56999999999999995</v>
      </c>
      <c r="R22"/>
      <c r="S22"/>
    </row>
    <row r="23" spans="1:20" x14ac:dyDescent="0.25">
      <c r="A23" s="4" t="s">
        <v>132</v>
      </c>
      <c r="B23" s="4">
        <v>4</v>
      </c>
      <c r="C23" s="4" t="s">
        <v>133</v>
      </c>
      <c r="D23" s="4">
        <v>22</v>
      </c>
      <c r="E23" s="4"/>
      <c r="F23" s="4"/>
      <c r="G23" s="4" t="s">
        <v>134</v>
      </c>
      <c r="H23" s="8" t="s">
        <v>103</v>
      </c>
      <c r="I23" s="12" t="s">
        <v>9</v>
      </c>
      <c r="J23" s="13" t="s">
        <v>10</v>
      </c>
      <c r="K23" s="9">
        <f t="shared" si="0"/>
        <v>8</v>
      </c>
      <c r="L23" s="9">
        <v>50</v>
      </c>
      <c r="M23" s="11">
        <v>0.47</v>
      </c>
      <c r="R23"/>
      <c r="S23"/>
    </row>
    <row r="24" spans="1:20" x14ac:dyDescent="0.25">
      <c r="A24" s="4" t="s">
        <v>355</v>
      </c>
      <c r="B24" s="4">
        <v>5</v>
      </c>
      <c r="C24" s="4" t="s">
        <v>135</v>
      </c>
      <c r="D24" s="4">
        <v>23</v>
      </c>
      <c r="E24" s="4"/>
      <c r="F24" s="4"/>
      <c r="G24" s="4" t="s">
        <v>136</v>
      </c>
      <c r="H24" s="8" t="s">
        <v>8</v>
      </c>
      <c r="I24" s="12" t="s">
        <v>11</v>
      </c>
      <c r="J24" s="13" t="s">
        <v>12</v>
      </c>
      <c r="K24" s="9">
        <f t="shared" si="0"/>
        <v>10</v>
      </c>
      <c r="L24" s="9">
        <v>100</v>
      </c>
      <c r="M24" s="14">
        <v>0.44</v>
      </c>
      <c r="R24"/>
      <c r="S24"/>
    </row>
    <row r="25" spans="1:20" x14ac:dyDescent="0.25">
      <c r="A25" s="4" t="s">
        <v>356</v>
      </c>
      <c r="B25" s="4">
        <v>2</v>
      </c>
      <c r="C25" s="4" t="s">
        <v>17</v>
      </c>
      <c r="D25" s="4">
        <v>24</v>
      </c>
      <c r="E25" s="4"/>
      <c r="F25" s="4"/>
      <c r="G25" s="4" t="s">
        <v>136</v>
      </c>
      <c r="H25" s="8" t="s">
        <v>103</v>
      </c>
      <c r="I25" s="12" t="s">
        <v>17</v>
      </c>
      <c r="J25" s="13" t="s">
        <v>18</v>
      </c>
      <c r="K25" s="9">
        <f t="shared" si="0"/>
        <v>4</v>
      </c>
      <c r="L25" s="9">
        <v>10</v>
      </c>
      <c r="M25" s="14">
        <v>0.5</v>
      </c>
      <c r="R25"/>
      <c r="S25"/>
    </row>
    <row r="26" spans="1:20" x14ac:dyDescent="0.25">
      <c r="A26" s="4" t="s">
        <v>139</v>
      </c>
      <c r="B26" s="4">
        <v>2</v>
      </c>
      <c r="C26" s="4" t="s">
        <v>67</v>
      </c>
      <c r="D26" s="4">
        <v>25</v>
      </c>
      <c r="E26" s="4"/>
      <c r="F26" s="4"/>
      <c r="G26" s="4" t="s">
        <v>138</v>
      </c>
      <c r="H26" s="8" t="s">
        <v>69</v>
      </c>
      <c r="I26" s="12" t="s">
        <v>67</v>
      </c>
      <c r="J26" s="13" t="s">
        <v>68</v>
      </c>
      <c r="K26" s="9">
        <f t="shared" si="0"/>
        <v>4</v>
      </c>
      <c r="L26" s="9">
        <v>5</v>
      </c>
      <c r="M26" s="14">
        <v>0.59</v>
      </c>
      <c r="R26"/>
      <c r="S26"/>
    </row>
    <row r="27" spans="1:20" x14ac:dyDescent="0.25">
      <c r="A27" s="4" t="s">
        <v>140</v>
      </c>
      <c r="B27" s="4">
        <v>1</v>
      </c>
      <c r="C27" s="4" t="s">
        <v>141</v>
      </c>
      <c r="D27" s="4">
        <v>26</v>
      </c>
      <c r="E27" s="4"/>
      <c r="F27" s="4"/>
      <c r="G27" s="4" t="s">
        <v>142</v>
      </c>
      <c r="H27" s="8" t="s">
        <v>170</v>
      </c>
      <c r="I27" s="10" t="s">
        <v>168</v>
      </c>
      <c r="J27" s="10" t="s">
        <v>169</v>
      </c>
      <c r="K27" s="9">
        <f t="shared" si="0"/>
        <v>2</v>
      </c>
      <c r="L27" s="9">
        <v>5</v>
      </c>
      <c r="M27" s="14">
        <v>1</v>
      </c>
      <c r="R27"/>
      <c r="S27"/>
    </row>
    <row r="28" spans="1:20" x14ac:dyDescent="0.25">
      <c r="A28" s="4" t="s">
        <v>143</v>
      </c>
      <c r="B28" s="4">
        <v>1</v>
      </c>
      <c r="C28" s="4" t="s">
        <v>21</v>
      </c>
      <c r="D28" s="4">
        <v>27</v>
      </c>
      <c r="E28" s="4"/>
      <c r="F28" s="4"/>
      <c r="G28" s="4" t="s">
        <v>144</v>
      </c>
      <c r="H28" s="8" t="s">
        <v>21</v>
      </c>
      <c r="I28" s="12" t="s">
        <v>19</v>
      </c>
      <c r="J28" s="13" t="s">
        <v>20</v>
      </c>
      <c r="K28" s="9">
        <f t="shared" si="0"/>
        <v>2</v>
      </c>
      <c r="L28" s="9">
        <v>2</v>
      </c>
      <c r="M28" s="11">
        <v>9.7100000000000009</v>
      </c>
      <c r="R28"/>
      <c r="S28"/>
    </row>
    <row r="29" spans="1:20" x14ac:dyDescent="0.25">
      <c r="A29" s="4" t="s">
        <v>145</v>
      </c>
      <c r="B29" s="4">
        <v>1</v>
      </c>
      <c r="C29" s="4" t="s">
        <v>146</v>
      </c>
      <c r="D29" s="4">
        <v>28</v>
      </c>
      <c r="E29" s="4"/>
      <c r="F29" s="4"/>
      <c r="G29" s="4" t="s">
        <v>147</v>
      </c>
      <c r="H29" s="8" t="s">
        <v>61</v>
      </c>
      <c r="I29" s="12" t="s">
        <v>59</v>
      </c>
      <c r="J29" s="13" t="s">
        <v>60</v>
      </c>
      <c r="K29" s="9">
        <f t="shared" si="0"/>
        <v>2</v>
      </c>
      <c r="L29" s="9">
        <v>5</v>
      </c>
      <c r="M29" s="14">
        <v>0.77</v>
      </c>
      <c r="O29" s="17"/>
      <c r="R29"/>
      <c r="S29"/>
      <c r="T29" s="17"/>
    </row>
    <row r="30" spans="1:20" x14ac:dyDescent="0.25">
      <c r="A30" s="4" t="s">
        <v>357</v>
      </c>
      <c r="B30" s="4">
        <v>7</v>
      </c>
      <c r="C30" s="4" t="s">
        <v>148</v>
      </c>
      <c r="D30" s="4">
        <v>29</v>
      </c>
      <c r="E30" s="4"/>
      <c r="F30" s="4"/>
      <c r="G30" s="4" t="s">
        <v>149</v>
      </c>
      <c r="H30" s="8" t="s">
        <v>171</v>
      </c>
      <c r="I30" s="10" t="s">
        <v>173</v>
      </c>
      <c r="J30" s="10" t="s">
        <v>174</v>
      </c>
      <c r="K30" s="9">
        <f t="shared" si="0"/>
        <v>14</v>
      </c>
      <c r="L30" s="9">
        <v>20</v>
      </c>
      <c r="M30" s="11">
        <v>0.61</v>
      </c>
    </row>
    <row r="31" spans="1:20" x14ac:dyDescent="0.25">
      <c r="A31" s="4" t="s">
        <v>150</v>
      </c>
      <c r="B31" s="4">
        <v>4</v>
      </c>
      <c r="C31" s="4" t="s">
        <v>148</v>
      </c>
      <c r="D31" s="4">
        <v>30</v>
      </c>
      <c r="E31" s="4"/>
      <c r="F31" s="4"/>
      <c r="G31" s="4" t="s">
        <v>151</v>
      </c>
      <c r="H31" s="8" t="s">
        <v>84</v>
      </c>
      <c r="I31" s="12">
        <v>1923869</v>
      </c>
      <c r="J31" s="13" t="s">
        <v>85</v>
      </c>
      <c r="K31" s="9">
        <f t="shared" si="0"/>
        <v>8</v>
      </c>
      <c r="L31" s="9">
        <v>10</v>
      </c>
      <c r="M31" s="11">
        <v>4.34</v>
      </c>
      <c r="N31" s="18" t="s">
        <v>56</v>
      </c>
      <c r="O31" t="s">
        <v>414</v>
      </c>
      <c r="S31"/>
    </row>
    <row r="32" spans="1:20" x14ac:dyDescent="0.25">
      <c r="A32" s="4" t="s">
        <v>152</v>
      </c>
      <c r="B32" s="4">
        <v>2</v>
      </c>
      <c r="C32" s="4" t="s">
        <v>153</v>
      </c>
      <c r="D32" s="4">
        <v>31</v>
      </c>
      <c r="E32" s="4"/>
      <c r="F32" s="4"/>
      <c r="G32" s="4" t="s">
        <v>154</v>
      </c>
      <c r="H32" s="8" t="s">
        <v>192</v>
      </c>
      <c r="I32" s="10" t="s">
        <v>186</v>
      </c>
      <c r="J32" s="10" t="s">
        <v>187</v>
      </c>
      <c r="K32" s="9">
        <f t="shared" si="0"/>
        <v>4</v>
      </c>
      <c r="L32" s="9">
        <v>10</v>
      </c>
      <c r="M32" s="11">
        <v>0.37</v>
      </c>
      <c r="R32"/>
      <c r="S32"/>
    </row>
    <row r="33" spans="1:19" x14ac:dyDescent="0.25">
      <c r="A33" s="4" t="s">
        <v>155</v>
      </c>
      <c r="B33" s="4">
        <v>3</v>
      </c>
      <c r="C33" s="4" t="s">
        <v>156</v>
      </c>
      <c r="D33" s="4">
        <v>32</v>
      </c>
      <c r="E33" s="4"/>
      <c r="F33" s="4"/>
      <c r="G33" s="4" t="s">
        <v>425</v>
      </c>
      <c r="H33" s="8" t="s">
        <v>193</v>
      </c>
      <c r="I33" s="10" t="s">
        <v>194</v>
      </c>
      <c r="J33" s="10" t="s">
        <v>195</v>
      </c>
      <c r="K33" s="9">
        <f t="shared" si="0"/>
        <v>6</v>
      </c>
      <c r="L33" s="9">
        <v>10</v>
      </c>
      <c r="M33" s="11">
        <v>0.34</v>
      </c>
      <c r="R33"/>
      <c r="S33"/>
    </row>
    <row r="34" spans="1:19" x14ac:dyDescent="0.25">
      <c r="A34" s="4" t="s">
        <v>158</v>
      </c>
      <c r="B34" s="4">
        <v>4</v>
      </c>
      <c r="C34" s="4" t="s">
        <v>159</v>
      </c>
      <c r="D34" s="4">
        <v>33</v>
      </c>
      <c r="E34" s="4"/>
      <c r="F34" s="4"/>
      <c r="G34" s="4" t="s">
        <v>160</v>
      </c>
      <c r="H34" s="8" t="s">
        <v>172</v>
      </c>
      <c r="I34" s="10" t="s">
        <v>175</v>
      </c>
      <c r="J34" s="10" t="s">
        <v>176</v>
      </c>
      <c r="K34" s="9">
        <f t="shared" si="0"/>
        <v>8</v>
      </c>
      <c r="L34" s="9">
        <v>10</v>
      </c>
      <c r="M34" s="11">
        <v>0.41</v>
      </c>
      <c r="R34"/>
      <c r="S34"/>
    </row>
    <row r="35" spans="1:19" x14ac:dyDescent="0.25">
      <c r="A35" s="4" t="s">
        <v>358</v>
      </c>
      <c r="B35" s="4">
        <v>2</v>
      </c>
      <c r="C35" s="4" t="s">
        <v>62</v>
      </c>
      <c r="D35" s="4">
        <v>34</v>
      </c>
      <c r="E35" s="4"/>
      <c r="F35" s="4"/>
      <c r="G35" s="4" t="s">
        <v>354</v>
      </c>
      <c r="H35" s="8" t="s">
        <v>62</v>
      </c>
      <c r="I35" s="12" t="s">
        <v>63</v>
      </c>
      <c r="J35" s="13" t="s">
        <v>64</v>
      </c>
      <c r="K35" s="9">
        <f t="shared" si="0"/>
        <v>4</v>
      </c>
      <c r="L35" s="9">
        <v>10</v>
      </c>
      <c r="M35" s="14">
        <v>0.54</v>
      </c>
      <c r="R35"/>
      <c r="S35"/>
    </row>
    <row r="36" spans="1:19" x14ac:dyDescent="0.25">
      <c r="A36" s="4" t="s">
        <v>359</v>
      </c>
      <c r="B36" s="4">
        <v>1</v>
      </c>
      <c r="C36" s="4" t="s">
        <v>161</v>
      </c>
      <c r="D36" s="4">
        <v>35</v>
      </c>
      <c r="E36" s="4"/>
      <c r="F36" s="4"/>
      <c r="G36" s="4" t="s">
        <v>426</v>
      </c>
      <c r="H36" s="8" t="s">
        <v>378</v>
      </c>
      <c r="I36" s="10" t="s">
        <v>376</v>
      </c>
      <c r="J36" s="10" t="s">
        <v>377</v>
      </c>
      <c r="K36" s="9">
        <f t="shared" si="0"/>
        <v>2</v>
      </c>
      <c r="L36" s="9">
        <v>5</v>
      </c>
      <c r="M36" s="11">
        <v>1.31</v>
      </c>
      <c r="R36"/>
      <c r="S36"/>
    </row>
    <row r="37" spans="1:19" x14ac:dyDescent="0.25">
      <c r="A37" s="4" t="s">
        <v>360</v>
      </c>
      <c r="B37" s="4">
        <v>1</v>
      </c>
      <c r="C37" s="4" t="s">
        <v>148</v>
      </c>
      <c r="D37" s="4">
        <v>36</v>
      </c>
      <c r="E37" s="4"/>
      <c r="F37" s="4"/>
      <c r="G37" s="4" t="s">
        <v>353</v>
      </c>
      <c r="H37" s="8" t="s">
        <v>66</v>
      </c>
      <c r="I37" s="12">
        <v>1711725</v>
      </c>
      <c r="J37" s="13" t="s">
        <v>65</v>
      </c>
      <c r="K37" s="9">
        <f t="shared" si="0"/>
        <v>2</v>
      </c>
      <c r="L37" s="9">
        <v>2</v>
      </c>
      <c r="M37" s="14">
        <v>1.79</v>
      </c>
      <c r="R37"/>
      <c r="S37"/>
    </row>
    <row r="38" spans="1:19" x14ac:dyDescent="0.25">
      <c r="A38" s="4" t="s">
        <v>361</v>
      </c>
      <c r="B38" s="4">
        <v>2</v>
      </c>
      <c r="C38" s="4" t="s">
        <v>148</v>
      </c>
      <c r="D38" s="4">
        <v>37</v>
      </c>
      <c r="E38" s="4"/>
      <c r="F38" s="4"/>
      <c r="G38" s="4" t="s">
        <v>162</v>
      </c>
      <c r="H38" s="8" t="s">
        <v>183</v>
      </c>
      <c r="I38" s="10" t="s">
        <v>184</v>
      </c>
      <c r="J38" s="10" t="s">
        <v>185</v>
      </c>
      <c r="K38" s="9">
        <f t="shared" si="0"/>
        <v>4</v>
      </c>
      <c r="L38" s="9">
        <v>50</v>
      </c>
      <c r="M38" s="11">
        <v>0.33</v>
      </c>
      <c r="R38"/>
      <c r="S38"/>
    </row>
    <row r="39" spans="1:19" x14ac:dyDescent="0.25">
      <c r="A39" s="4" t="s">
        <v>362</v>
      </c>
      <c r="B39" s="4">
        <v>5</v>
      </c>
      <c r="C39" s="4" t="s">
        <v>156</v>
      </c>
      <c r="D39" s="4">
        <v>38</v>
      </c>
      <c r="E39" s="4"/>
      <c r="F39" s="4"/>
      <c r="G39" s="4" t="s">
        <v>163</v>
      </c>
      <c r="H39" s="8" t="s">
        <v>177</v>
      </c>
      <c r="I39" s="10" t="s">
        <v>178</v>
      </c>
      <c r="J39" s="10" t="s">
        <v>179</v>
      </c>
      <c r="K39" s="9">
        <f t="shared" si="0"/>
        <v>10</v>
      </c>
      <c r="L39" s="9">
        <v>20</v>
      </c>
      <c r="M39" s="11">
        <v>0.89</v>
      </c>
      <c r="R39"/>
      <c r="S39"/>
    </row>
    <row r="40" spans="1:19" x14ac:dyDescent="0.25">
      <c r="A40" s="4" t="s">
        <v>363</v>
      </c>
      <c r="B40" s="4">
        <v>1</v>
      </c>
      <c r="C40" s="4" t="s">
        <v>164</v>
      </c>
      <c r="D40" s="4">
        <v>39</v>
      </c>
      <c r="E40" s="4"/>
      <c r="F40" s="4"/>
      <c r="G40" s="4" t="s">
        <v>165</v>
      </c>
      <c r="H40" s="8" t="s">
        <v>182</v>
      </c>
      <c r="I40" s="10" t="s">
        <v>180</v>
      </c>
      <c r="J40" s="10" t="s">
        <v>181</v>
      </c>
      <c r="K40" s="9">
        <f t="shared" si="0"/>
        <v>2</v>
      </c>
      <c r="L40" s="9">
        <v>20</v>
      </c>
      <c r="M40" s="11">
        <v>0.25</v>
      </c>
      <c r="R40"/>
      <c r="S40"/>
    </row>
    <row r="41" spans="1:19" x14ac:dyDescent="0.25">
      <c r="A41" s="4" t="s">
        <v>166</v>
      </c>
      <c r="B41" s="4">
        <v>3</v>
      </c>
      <c r="C41" s="4" t="s">
        <v>159</v>
      </c>
      <c r="D41" s="4">
        <v>40</v>
      </c>
      <c r="E41" s="4"/>
      <c r="F41" s="4"/>
      <c r="G41" s="4" t="s">
        <v>157</v>
      </c>
      <c r="H41" s="8" t="s">
        <v>190</v>
      </c>
      <c r="I41" s="10" t="s">
        <v>188</v>
      </c>
      <c r="J41" s="10" t="s">
        <v>189</v>
      </c>
      <c r="K41" s="9">
        <f t="shared" si="0"/>
        <v>6</v>
      </c>
      <c r="L41" s="9">
        <v>10</v>
      </c>
      <c r="M41" s="11">
        <v>0.34</v>
      </c>
      <c r="R41"/>
      <c r="S41"/>
    </row>
    <row r="42" spans="1:19" x14ac:dyDescent="0.25">
      <c r="A42" s="4" t="s">
        <v>364</v>
      </c>
      <c r="B42" s="4">
        <v>3</v>
      </c>
      <c r="C42" s="4" t="s">
        <v>148</v>
      </c>
      <c r="D42" s="4">
        <v>41</v>
      </c>
      <c r="E42" s="4"/>
      <c r="F42" s="4"/>
      <c r="G42" s="4" t="s">
        <v>167</v>
      </c>
      <c r="H42" s="8" t="s">
        <v>191</v>
      </c>
      <c r="I42" s="10" t="s">
        <v>196</v>
      </c>
      <c r="J42" s="10" t="s">
        <v>197</v>
      </c>
      <c r="K42" s="9">
        <f t="shared" si="0"/>
        <v>6</v>
      </c>
      <c r="L42" s="9">
        <v>10</v>
      </c>
      <c r="M42" s="11">
        <v>0.7</v>
      </c>
      <c r="R42"/>
      <c r="S42"/>
    </row>
    <row r="43" spans="1:19" x14ac:dyDescent="0.25">
      <c r="A43" s="4" t="s">
        <v>198</v>
      </c>
      <c r="B43" s="4">
        <v>1</v>
      </c>
      <c r="C43" s="4" t="s">
        <v>199</v>
      </c>
      <c r="D43" s="4">
        <v>42</v>
      </c>
      <c r="E43" s="4"/>
      <c r="F43" s="4"/>
      <c r="G43" s="4" t="s">
        <v>200</v>
      </c>
      <c r="H43" s="8" t="s">
        <v>263</v>
      </c>
      <c r="I43" s="10" t="s">
        <v>379</v>
      </c>
      <c r="J43" s="10" t="s">
        <v>380</v>
      </c>
      <c r="K43" s="9">
        <f t="shared" si="0"/>
        <v>2</v>
      </c>
      <c r="L43" s="9">
        <v>2</v>
      </c>
      <c r="M43" s="11">
        <v>2.73</v>
      </c>
      <c r="R43"/>
      <c r="S43"/>
    </row>
    <row r="44" spans="1:19" x14ac:dyDescent="0.25">
      <c r="A44" s="4" t="s">
        <v>201</v>
      </c>
      <c r="B44" s="4">
        <v>1</v>
      </c>
      <c r="C44" s="4" t="s">
        <v>427</v>
      </c>
      <c r="D44" s="4">
        <v>43</v>
      </c>
      <c r="E44" s="4"/>
      <c r="F44" s="4"/>
      <c r="G44" s="4" t="s">
        <v>202</v>
      </c>
      <c r="H44" s="8" t="s">
        <v>105</v>
      </c>
      <c r="I44" s="12" t="s">
        <v>13</v>
      </c>
      <c r="J44" s="13" t="s">
        <v>14</v>
      </c>
      <c r="K44" s="9">
        <f t="shared" si="0"/>
        <v>2</v>
      </c>
      <c r="L44" s="9">
        <v>2</v>
      </c>
      <c r="M44" s="14">
        <v>1.66</v>
      </c>
      <c r="R44"/>
      <c r="S44"/>
    </row>
    <row r="45" spans="1:19" x14ac:dyDescent="0.25">
      <c r="A45" s="4" t="s">
        <v>203</v>
      </c>
      <c r="B45" s="4">
        <v>4</v>
      </c>
      <c r="C45" s="4" t="s">
        <v>48</v>
      </c>
      <c r="D45" s="4">
        <v>44</v>
      </c>
      <c r="E45" s="4"/>
      <c r="F45" s="4"/>
      <c r="G45" s="4" t="s">
        <v>204</v>
      </c>
      <c r="H45" s="8" t="s">
        <v>47</v>
      </c>
      <c r="I45" s="12" t="s">
        <v>48</v>
      </c>
      <c r="J45" s="13" t="s">
        <v>49</v>
      </c>
      <c r="K45" s="9">
        <f t="shared" si="0"/>
        <v>8</v>
      </c>
      <c r="L45" s="9">
        <v>10</v>
      </c>
      <c r="M45" s="14">
        <v>15.58</v>
      </c>
      <c r="R45"/>
      <c r="S45"/>
    </row>
    <row r="46" spans="1:19" x14ac:dyDescent="0.25">
      <c r="A46" s="4" t="s">
        <v>205</v>
      </c>
      <c r="B46" s="4">
        <v>4</v>
      </c>
      <c r="C46" s="4" t="s">
        <v>206</v>
      </c>
      <c r="D46" s="4">
        <v>45</v>
      </c>
      <c r="E46" s="4"/>
      <c r="F46" s="4"/>
      <c r="G46" s="4" t="s">
        <v>207</v>
      </c>
      <c r="H46" s="8" t="s">
        <v>264</v>
      </c>
      <c r="I46" s="12" t="s">
        <v>15</v>
      </c>
      <c r="J46" s="13" t="s">
        <v>16</v>
      </c>
      <c r="K46" s="9">
        <f t="shared" si="0"/>
        <v>8</v>
      </c>
      <c r="L46" s="9">
        <v>20</v>
      </c>
      <c r="M46" s="14">
        <v>0.48</v>
      </c>
      <c r="R46"/>
      <c r="S46"/>
    </row>
    <row r="47" spans="1:19" x14ac:dyDescent="0.25">
      <c r="A47" s="4" t="s">
        <v>208</v>
      </c>
      <c r="B47" s="4">
        <v>1</v>
      </c>
      <c r="C47" s="4" t="s">
        <v>209</v>
      </c>
      <c r="D47" s="4">
        <v>46</v>
      </c>
      <c r="E47" s="4"/>
      <c r="F47" s="4"/>
      <c r="G47" s="4" t="s">
        <v>207</v>
      </c>
      <c r="H47" s="8" t="s">
        <v>265</v>
      </c>
      <c r="I47" s="10" t="s">
        <v>86</v>
      </c>
      <c r="J47" s="10" t="s">
        <v>87</v>
      </c>
      <c r="K47" s="9">
        <f t="shared" si="0"/>
        <v>2</v>
      </c>
      <c r="L47" s="9">
        <v>20</v>
      </c>
      <c r="M47" s="14">
        <v>0.6</v>
      </c>
      <c r="R47"/>
      <c r="S47"/>
    </row>
    <row r="48" spans="1:19" x14ac:dyDescent="0.25">
      <c r="A48" s="4" t="s">
        <v>210</v>
      </c>
      <c r="B48" s="4">
        <v>1</v>
      </c>
      <c r="C48" s="4" t="s">
        <v>211</v>
      </c>
      <c r="D48" s="4">
        <v>47</v>
      </c>
      <c r="E48" s="4"/>
      <c r="F48" s="4"/>
      <c r="G48" s="4" t="s">
        <v>277</v>
      </c>
      <c r="H48" s="8" t="s">
        <v>266</v>
      </c>
      <c r="I48" s="10" t="s">
        <v>409</v>
      </c>
      <c r="J48" s="10" t="s">
        <v>410</v>
      </c>
      <c r="K48" s="9">
        <f t="shared" si="0"/>
        <v>2</v>
      </c>
      <c r="L48" s="9">
        <v>100</v>
      </c>
      <c r="M48" s="11">
        <v>0.12</v>
      </c>
      <c r="R48"/>
      <c r="S48"/>
    </row>
    <row r="49" spans="1:19" x14ac:dyDescent="0.25">
      <c r="A49" s="4" t="s">
        <v>270</v>
      </c>
      <c r="B49" s="4">
        <v>1</v>
      </c>
      <c r="C49" s="4" t="s">
        <v>271</v>
      </c>
      <c r="D49" s="4">
        <v>48</v>
      </c>
      <c r="E49" s="4"/>
      <c r="F49" s="4"/>
      <c r="G49" s="4" t="s">
        <v>277</v>
      </c>
      <c r="H49" s="8" t="s">
        <v>287</v>
      </c>
      <c r="I49" s="10" t="s">
        <v>393</v>
      </c>
      <c r="J49" s="10" t="s">
        <v>394</v>
      </c>
      <c r="K49" s="9">
        <f t="shared" si="0"/>
        <v>2</v>
      </c>
      <c r="L49" s="9">
        <v>100</v>
      </c>
      <c r="M49" s="11">
        <v>0.12</v>
      </c>
      <c r="R49"/>
      <c r="S49"/>
    </row>
    <row r="50" spans="1:19" x14ac:dyDescent="0.25">
      <c r="A50" s="4" t="s">
        <v>213</v>
      </c>
      <c r="B50" s="4">
        <v>2</v>
      </c>
      <c r="C50" s="4" t="s">
        <v>365</v>
      </c>
      <c r="D50" s="4">
        <v>49</v>
      </c>
      <c r="E50" s="4"/>
      <c r="F50" s="4"/>
      <c r="G50" s="4" t="s">
        <v>277</v>
      </c>
      <c r="H50" s="8" t="s">
        <v>303</v>
      </c>
      <c r="I50" s="10" t="s">
        <v>407</v>
      </c>
      <c r="J50" s="10" t="s">
        <v>408</v>
      </c>
      <c r="K50" s="9">
        <f t="shared" si="0"/>
        <v>4</v>
      </c>
      <c r="L50" s="9">
        <v>100</v>
      </c>
      <c r="M50" s="11">
        <v>0.13</v>
      </c>
      <c r="R50"/>
      <c r="S50"/>
    </row>
    <row r="51" spans="1:19" x14ac:dyDescent="0.25">
      <c r="A51" s="4" t="s">
        <v>214</v>
      </c>
      <c r="B51" s="4">
        <v>1</v>
      </c>
      <c r="C51" s="4" t="s">
        <v>215</v>
      </c>
      <c r="D51" s="4">
        <v>50</v>
      </c>
      <c r="E51" s="4"/>
      <c r="F51" s="4"/>
      <c r="G51" s="4" t="s">
        <v>277</v>
      </c>
      <c r="H51" s="8" t="s">
        <v>268</v>
      </c>
      <c r="I51" s="10" t="s">
        <v>383</v>
      </c>
      <c r="J51" s="10" t="s">
        <v>384</v>
      </c>
      <c r="K51" s="9">
        <f t="shared" si="0"/>
        <v>2</v>
      </c>
      <c r="L51" s="9">
        <v>100</v>
      </c>
      <c r="M51" s="11">
        <v>0.13</v>
      </c>
      <c r="R51"/>
      <c r="S51"/>
    </row>
    <row r="52" spans="1:19" x14ac:dyDescent="0.25">
      <c r="A52" s="4" t="s">
        <v>216</v>
      </c>
      <c r="B52" s="4">
        <v>6</v>
      </c>
      <c r="C52" s="4" t="s">
        <v>217</v>
      </c>
      <c r="D52" s="4">
        <v>51</v>
      </c>
      <c r="E52" s="4"/>
      <c r="F52" s="4"/>
      <c r="G52" s="4" t="s">
        <v>277</v>
      </c>
      <c r="H52" s="8" t="s">
        <v>275</v>
      </c>
      <c r="I52" s="10" t="s">
        <v>391</v>
      </c>
      <c r="J52" s="10" t="s">
        <v>392</v>
      </c>
      <c r="K52" s="9">
        <f t="shared" si="0"/>
        <v>12</v>
      </c>
      <c r="L52" s="9">
        <v>100</v>
      </c>
      <c r="M52" s="11">
        <v>0.13</v>
      </c>
      <c r="R52"/>
      <c r="S52"/>
    </row>
    <row r="53" spans="1:19" x14ac:dyDescent="0.25">
      <c r="A53" s="4" t="s">
        <v>218</v>
      </c>
      <c r="B53" s="4">
        <v>6</v>
      </c>
      <c r="C53" s="4" t="s">
        <v>219</v>
      </c>
      <c r="D53" s="4">
        <v>52</v>
      </c>
      <c r="E53" s="4"/>
      <c r="F53" s="4"/>
      <c r="G53" s="4" t="s">
        <v>277</v>
      </c>
      <c r="H53" s="8" t="s">
        <v>269</v>
      </c>
      <c r="I53" s="10" t="s">
        <v>405</v>
      </c>
      <c r="J53" s="10" t="s">
        <v>406</v>
      </c>
      <c r="K53" s="9">
        <f t="shared" si="0"/>
        <v>12</v>
      </c>
      <c r="L53" s="9">
        <v>20</v>
      </c>
      <c r="M53" s="11">
        <v>0.38</v>
      </c>
      <c r="R53"/>
      <c r="S53"/>
    </row>
    <row r="54" spans="1:19" x14ac:dyDescent="0.25">
      <c r="A54" s="4" t="s">
        <v>220</v>
      </c>
      <c r="B54" s="4">
        <v>1</v>
      </c>
      <c r="C54" s="4" t="s">
        <v>366</v>
      </c>
      <c r="D54" s="4">
        <v>53</v>
      </c>
      <c r="E54" s="4"/>
      <c r="F54" s="4"/>
      <c r="G54" s="4" t="s">
        <v>277</v>
      </c>
      <c r="H54" s="8" t="s">
        <v>302</v>
      </c>
      <c r="I54" s="10" t="s">
        <v>403</v>
      </c>
      <c r="J54" s="10" t="s">
        <v>404</v>
      </c>
      <c r="K54" s="9">
        <f t="shared" si="0"/>
        <v>2</v>
      </c>
      <c r="L54" s="9">
        <v>50</v>
      </c>
      <c r="M54" s="11">
        <v>0.92</v>
      </c>
      <c r="R54"/>
      <c r="S54"/>
    </row>
    <row r="55" spans="1:19" x14ac:dyDescent="0.25">
      <c r="A55" s="4" t="s">
        <v>221</v>
      </c>
      <c r="B55" s="4">
        <v>5</v>
      </c>
      <c r="C55" s="4" t="s">
        <v>367</v>
      </c>
      <c r="D55" s="4">
        <v>54</v>
      </c>
      <c r="E55" s="4"/>
      <c r="F55" s="4"/>
      <c r="G55" s="4" t="s">
        <v>277</v>
      </c>
      <c r="H55" s="8" t="s">
        <v>301</v>
      </c>
      <c r="I55" s="10" t="s">
        <v>401</v>
      </c>
      <c r="J55" s="10" t="s">
        <v>402</v>
      </c>
      <c r="K55" s="9">
        <f t="shared" si="0"/>
        <v>10</v>
      </c>
      <c r="L55" s="9">
        <v>100</v>
      </c>
      <c r="M55" s="11">
        <v>0.11</v>
      </c>
      <c r="R55"/>
      <c r="S55"/>
    </row>
    <row r="56" spans="1:19" x14ac:dyDescent="0.25">
      <c r="A56" s="4" t="s">
        <v>222</v>
      </c>
      <c r="B56" s="4">
        <v>8</v>
      </c>
      <c r="C56" s="4" t="s">
        <v>223</v>
      </c>
      <c r="D56" s="4">
        <v>55</v>
      </c>
      <c r="E56" s="4"/>
      <c r="F56" s="4"/>
      <c r="G56" s="4" t="s">
        <v>277</v>
      </c>
      <c r="H56" s="8" t="s">
        <v>283</v>
      </c>
      <c r="I56" s="10" t="s">
        <v>395</v>
      </c>
      <c r="J56" s="10" t="s">
        <v>396</v>
      </c>
      <c r="K56" s="9">
        <f t="shared" si="0"/>
        <v>16</v>
      </c>
      <c r="L56" s="9">
        <v>100</v>
      </c>
      <c r="M56" s="11">
        <v>0.11</v>
      </c>
      <c r="R56"/>
      <c r="S56"/>
    </row>
    <row r="57" spans="1:19" x14ac:dyDescent="0.25">
      <c r="A57" s="4" t="s">
        <v>224</v>
      </c>
      <c r="B57" s="4">
        <v>4</v>
      </c>
      <c r="C57" s="4" t="s">
        <v>428</v>
      </c>
      <c r="D57" s="4">
        <v>56</v>
      </c>
      <c r="E57" s="4"/>
      <c r="F57" s="4"/>
      <c r="G57" s="4" t="s">
        <v>277</v>
      </c>
      <c r="H57" s="8" t="s">
        <v>429</v>
      </c>
      <c r="I57" s="1" t="s">
        <v>430</v>
      </c>
      <c r="J57" s="1" t="s">
        <v>431</v>
      </c>
      <c r="K57" s="9">
        <f t="shared" si="0"/>
        <v>8</v>
      </c>
      <c r="L57" s="9">
        <v>100</v>
      </c>
      <c r="M57" s="11">
        <v>0.12</v>
      </c>
      <c r="R57"/>
      <c r="S57"/>
    </row>
    <row r="58" spans="1:19" x14ac:dyDescent="0.25">
      <c r="A58" s="4" t="s">
        <v>225</v>
      </c>
      <c r="B58" s="4">
        <v>4</v>
      </c>
      <c r="C58" s="4" t="s">
        <v>226</v>
      </c>
      <c r="D58" s="4">
        <v>57</v>
      </c>
      <c r="E58" s="4"/>
      <c r="F58" s="4"/>
      <c r="G58" s="4" t="s">
        <v>277</v>
      </c>
      <c r="H58" s="8" t="s">
        <v>284</v>
      </c>
      <c r="I58" s="10" t="s">
        <v>381</v>
      </c>
      <c r="J58" s="10" t="s">
        <v>382</v>
      </c>
      <c r="K58" s="9">
        <f t="shared" si="0"/>
        <v>8</v>
      </c>
      <c r="L58" s="9">
        <v>100</v>
      </c>
      <c r="M58" s="11">
        <v>0.11</v>
      </c>
      <c r="R58"/>
      <c r="S58"/>
    </row>
    <row r="59" spans="1:19" x14ac:dyDescent="0.25">
      <c r="A59" s="4" t="s">
        <v>278</v>
      </c>
      <c r="B59" s="4">
        <v>4</v>
      </c>
      <c r="C59" s="4" t="s">
        <v>227</v>
      </c>
      <c r="D59" s="4">
        <v>58</v>
      </c>
      <c r="E59" s="4"/>
      <c r="F59" s="4"/>
      <c r="G59" s="4" t="s">
        <v>279</v>
      </c>
      <c r="H59" s="8" t="s">
        <v>285</v>
      </c>
      <c r="I59" s="10" t="s">
        <v>387</v>
      </c>
      <c r="J59" s="10" t="s">
        <v>388</v>
      </c>
      <c r="K59" s="9">
        <f t="shared" si="0"/>
        <v>8</v>
      </c>
      <c r="L59" s="9">
        <v>100</v>
      </c>
      <c r="M59" s="11">
        <v>0.46</v>
      </c>
      <c r="R59"/>
      <c r="S59"/>
    </row>
    <row r="60" spans="1:19" x14ac:dyDescent="0.25">
      <c r="A60" s="4" t="s">
        <v>228</v>
      </c>
      <c r="B60" s="4">
        <v>4</v>
      </c>
      <c r="C60" s="4" t="s">
        <v>435</v>
      </c>
      <c r="D60" s="4">
        <v>59</v>
      </c>
      <c r="E60" s="4"/>
      <c r="F60" s="4"/>
      <c r="G60" s="4" t="s">
        <v>277</v>
      </c>
      <c r="H60" s="8" t="s">
        <v>434</v>
      </c>
      <c r="I60" s="1" t="s">
        <v>432</v>
      </c>
      <c r="J60" s="1" t="s">
        <v>433</v>
      </c>
      <c r="K60" s="9">
        <f t="shared" si="0"/>
        <v>8</v>
      </c>
      <c r="L60" s="9">
        <v>100</v>
      </c>
      <c r="M60" s="11">
        <v>0.13</v>
      </c>
      <c r="R60"/>
      <c r="S60"/>
    </row>
    <row r="61" spans="1:19" x14ac:dyDescent="0.25">
      <c r="A61" s="4" t="s">
        <v>229</v>
      </c>
      <c r="B61" s="4">
        <v>8</v>
      </c>
      <c r="C61" s="4" t="s">
        <v>368</v>
      </c>
      <c r="D61" s="4">
        <v>60</v>
      </c>
      <c r="E61" s="4"/>
      <c r="F61" s="4"/>
      <c r="G61" s="4" t="s">
        <v>277</v>
      </c>
      <c r="H61" s="8" t="s">
        <v>300</v>
      </c>
      <c r="I61" s="10" t="s">
        <v>397</v>
      </c>
      <c r="J61" s="10" t="s">
        <v>398</v>
      </c>
      <c r="K61" s="9">
        <f t="shared" si="0"/>
        <v>16</v>
      </c>
      <c r="L61" s="9">
        <v>100</v>
      </c>
      <c r="M61" s="11">
        <v>0.12</v>
      </c>
      <c r="R61"/>
      <c r="S61"/>
    </row>
    <row r="62" spans="1:19" x14ac:dyDescent="0.25">
      <c r="A62" s="4" t="s">
        <v>230</v>
      </c>
      <c r="B62" s="4">
        <v>2</v>
      </c>
      <c r="C62" s="4" t="s">
        <v>231</v>
      </c>
      <c r="D62" s="4">
        <v>61</v>
      </c>
      <c r="E62" s="4"/>
      <c r="F62" s="4"/>
      <c r="G62" s="4" t="s">
        <v>277</v>
      </c>
      <c r="H62" s="8" t="s">
        <v>286</v>
      </c>
      <c r="I62" s="10" t="s">
        <v>399</v>
      </c>
      <c r="J62" s="10" t="s">
        <v>400</v>
      </c>
      <c r="K62" s="9">
        <f t="shared" si="0"/>
        <v>4</v>
      </c>
      <c r="L62" s="9">
        <v>100</v>
      </c>
      <c r="M62" s="11">
        <v>0.11</v>
      </c>
      <c r="R62"/>
      <c r="S62"/>
    </row>
    <row r="63" spans="1:19" x14ac:dyDescent="0.25">
      <c r="A63" s="4" t="s">
        <v>272</v>
      </c>
      <c r="B63" s="4">
        <v>1</v>
      </c>
      <c r="C63" s="4" t="s">
        <v>212</v>
      </c>
      <c r="D63" s="4">
        <v>62</v>
      </c>
      <c r="E63" s="4"/>
      <c r="F63" s="4"/>
      <c r="G63" s="4" t="s">
        <v>277</v>
      </c>
      <c r="H63" s="8" t="s">
        <v>267</v>
      </c>
      <c r="I63" s="10" t="s">
        <v>389</v>
      </c>
      <c r="J63" s="10" t="s">
        <v>390</v>
      </c>
      <c r="K63" s="9">
        <f t="shared" si="0"/>
        <v>2</v>
      </c>
      <c r="L63" s="9">
        <v>100</v>
      </c>
      <c r="M63" s="11">
        <v>0.12</v>
      </c>
      <c r="R63"/>
      <c r="S63"/>
    </row>
    <row r="64" spans="1:19" x14ac:dyDescent="0.25">
      <c r="A64" s="4" t="s">
        <v>280</v>
      </c>
      <c r="B64" s="4">
        <v>5</v>
      </c>
      <c r="C64" s="4" t="s">
        <v>227</v>
      </c>
      <c r="D64" s="4">
        <v>63</v>
      </c>
      <c r="E64" s="4"/>
      <c r="F64" s="4"/>
      <c r="G64" s="4" t="s">
        <v>277</v>
      </c>
      <c r="H64" s="8" t="s">
        <v>285</v>
      </c>
      <c r="I64" s="10" t="s">
        <v>385</v>
      </c>
      <c r="J64" s="10" t="s">
        <v>386</v>
      </c>
      <c r="K64" s="9">
        <f t="shared" si="0"/>
        <v>10</v>
      </c>
      <c r="L64" s="9">
        <v>100</v>
      </c>
      <c r="M64" s="11">
        <v>0.25</v>
      </c>
      <c r="R64"/>
      <c r="S64"/>
    </row>
    <row r="65" spans="1:22" x14ac:dyDescent="0.25">
      <c r="A65" s="4" t="s">
        <v>232</v>
      </c>
      <c r="B65" s="4">
        <v>10</v>
      </c>
      <c r="C65" s="4" t="s">
        <v>281</v>
      </c>
      <c r="D65" s="4">
        <v>64</v>
      </c>
      <c r="E65" s="4"/>
      <c r="F65" s="4"/>
      <c r="G65" s="4" t="s">
        <v>282</v>
      </c>
      <c r="H65" s="8" t="s">
        <v>276</v>
      </c>
      <c r="I65" s="10" t="s">
        <v>273</v>
      </c>
      <c r="J65" s="10" t="s">
        <v>274</v>
      </c>
      <c r="K65" s="9">
        <f t="shared" si="0"/>
        <v>20</v>
      </c>
      <c r="L65" s="9">
        <v>20</v>
      </c>
      <c r="M65" s="11">
        <v>0.41</v>
      </c>
      <c r="R65"/>
      <c r="S65"/>
    </row>
    <row r="66" spans="1:22" x14ac:dyDescent="0.25">
      <c r="A66" s="4" t="s">
        <v>233</v>
      </c>
      <c r="B66" s="4">
        <v>1</v>
      </c>
      <c r="C66" s="4" t="s">
        <v>24</v>
      </c>
      <c r="D66" s="4">
        <v>65</v>
      </c>
      <c r="E66" s="4"/>
      <c r="F66" s="4"/>
      <c r="G66" s="4" t="s">
        <v>234</v>
      </c>
      <c r="H66" s="8" t="s">
        <v>33</v>
      </c>
      <c r="I66" s="12" t="s">
        <v>24</v>
      </c>
      <c r="J66" s="13" t="s">
        <v>25</v>
      </c>
      <c r="K66" s="9">
        <f t="shared" si="0"/>
        <v>2</v>
      </c>
      <c r="L66" s="9">
        <v>5</v>
      </c>
      <c r="M66" s="14">
        <v>1.49</v>
      </c>
      <c r="R66"/>
      <c r="S66"/>
    </row>
    <row r="67" spans="1:22" x14ac:dyDescent="0.25">
      <c r="A67" s="4" t="s">
        <v>235</v>
      </c>
      <c r="B67" s="4">
        <v>1</v>
      </c>
      <c r="C67" s="4" t="s">
        <v>236</v>
      </c>
      <c r="D67" s="4">
        <v>66</v>
      </c>
      <c r="E67" s="4"/>
      <c r="F67" s="4"/>
      <c r="G67" s="4" t="s">
        <v>237</v>
      </c>
      <c r="H67" s="8" t="s">
        <v>288</v>
      </c>
      <c r="I67" s="12" t="s">
        <v>78</v>
      </c>
      <c r="J67" s="13" t="s">
        <v>79</v>
      </c>
      <c r="K67" s="9">
        <f t="shared" ref="K67:K76" si="7">B67*2</f>
        <v>2</v>
      </c>
      <c r="L67" s="9">
        <v>2</v>
      </c>
      <c r="M67" s="11">
        <v>5.09</v>
      </c>
      <c r="R67"/>
      <c r="S67"/>
    </row>
    <row r="68" spans="1:22" x14ac:dyDescent="0.25">
      <c r="A68" s="4" t="s">
        <v>238</v>
      </c>
      <c r="B68" s="4">
        <v>2</v>
      </c>
      <c r="C68" s="4" t="s">
        <v>239</v>
      </c>
      <c r="D68" s="4">
        <v>67</v>
      </c>
      <c r="E68" s="4"/>
      <c r="F68" s="4"/>
      <c r="G68" s="4" t="s">
        <v>240</v>
      </c>
      <c r="H68" s="8" t="s">
        <v>53</v>
      </c>
      <c r="I68" s="12" t="s">
        <v>51</v>
      </c>
      <c r="J68" s="13" t="s">
        <v>52</v>
      </c>
      <c r="K68" s="9">
        <f t="shared" si="7"/>
        <v>4</v>
      </c>
      <c r="L68" s="9">
        <v>5</v>
      </c>
      <c r="M68" s="14">
        <v>0.94</v>
      </c>
      <c r="R68"/>
      <c r="S68"/>
      <c r="U68" s="2"/>
      <c r="V68" s="3"/>
    </row>
    <row r="69" spans="1:22" x14ac:dyDescent="0.25">
      <c r="A69" s="4" t="s">
        <v>241</v>
      </c>
      <c r="B69" s="4">
        <v>1</v>
      </c>
      <c r="C69" s="4" t="s">
        <v>42</v>
      </c>
      <c r="D69" s="4">
        <v>68</v>
      </c>
      <c r="E69" s="4"/>
      <c r="F69" s="4"/>
      <c r="G69" s="4" t="s">
        <v>242</v>
      </c>
      <c r="H69" s="8" t="s">
        <v>41</v>
      </c>
      <c r="I69" s="12" t="s">
        <v>42</v>
      </c>
      <c r="J69" s="13" t="s">
        <v>43</v>
      </c>
      <c r="K69" s="9">
        <f t="shared" si="7"/>
        <v>2</v>
      </c>
      <c r="L69" s="9">
        <v>5</v>
      </c>
      <c r="M69" s="14">
        <v>0.47</v>
      </c>
    </row>
    <row r="70" spans="1:22" x14ac:dyDescent="0.25">
      <c r="A70" s="4" t="s">
        <v>243</v>
      </c>
      <c r="B70" s="4">
        <v>1</v>
      </c>
      <c r="C70" s="4" t="s">
        <v>244</v>
      </c>
      <c r="D70" s="4">
        <v>69</v>
      </c>
      <c r="E70" s="4"/>
      <c r="F70" s="4"/>
      <c r="G70" s="4" t="s">
        <v>245</v>
      </c>
      <c r="H70" s="8" t="s">
        <v>34</v>
      </c>
      <c r="I70" s="12" t="s">
        <v>35</v>
      </c>
      <c r="J70" s="13" t="s">
        <v>36</v>
      </c>
      <c r="K70" s="9">
        <f t="shared" si="7"/>
        <v>2</v>
      </c>
      <c r="L70" s="9">
        <v>5</v>
      </c>
      <c r="M70" s="14">
        <v>1.07</v>
      </c>
    </row>
    <row r="71" spans="1:22" x14ac:dyDescent="0.25">
      <c r="A71" s="4" t="s">
        <v>246</v>
      </c>
      <c r="B71" s="4">
        <v>2</v>
      </c>
      <c r="C71" s="4" t="s">
        <v>247</v>
      </c>
      <c r="D71" s="4">
        <v>70</v>
      </c>
      <c r="E71" s="4"/>
      <c r="F71" s="4"/>
      <c r="G71" s="4" t="s">
        <v>248</v>
      </c>
      <c r="H71" s="8" t="s">
        <v>40</v>
      </c>
      <c r="I71" s="12" t="s">
        <v>38</v>
      </c>
      <c r="J71" s="13" t="s">
        <v>39</v>
      </c>
      <c r="K71" s="9">
        <f t="shared" si="7"/>
        <v>4</v>
      </c>
      <c r="L71" s="9">
        <v>4</v>
      </c>
      <c r="M71" s="14">
        <v>4.53</v>
      </c>
    </row>
    <row r="72" spans="1:22" x14ac:dyDescent="0.25">
      <c r="A72" s="4" t="s">
        <v>249</v>
      </c>
      <c r="B72" s="4">
        <v>1</v>
      </c>
      <c r="C72" s="4" t="s">
        <v>250</v>
      </c>
      <c r="D72" s="4">
        <v>71</v>
      </c>
      <c r="E72" s="4"/>
      <c r="F72" s="4"/>
      <c r="G72" s="4" t="s">
        <v>251</v>
      </c>
      <c r="H72" s="8" t="s">
        <v>37</v>
      </c>
      <c r="I72" s="12" t="s">
        <v>54</v>
      </c>
      <c r="J72" s="13" t="s">
        <v>55</v>
      </c>
      <c r="K72" s="9">
        <f t="shared" si="7"/>
        <v>2</v>
      </c>
      <c r="L72" s="9">
        <v>3</v>
      </c>
      <c r="M72" s="14">
        <v>1.78</v>
      </c>
    </row>
    <row r="73" spans="1:22" x14ac:dyDescent="0.25">
      <c r="A73" s="4" t="s">
        <v>252</v>
      </c>
      <c r="B73" s="4">
        <v>1</v>
      </c>
      <c r="C73" s="4" t="s">
        <v>253</v>
      </c>
      <c r="D73" s="4">
        <v>72</v>
      </c>
      <c r="E73" s="4"/>
      <c r="F73" s="4"/>
      <c r="G73" s="4" t="s">
        <v>248</v>
      </c>
      <c r="H73" s="8">
        <v>555</v>
      </c>
      <c r="I73" s="12" t="s">
        <v>22</v>
      </c>
      <c r="J73" s="13" t="s">
        <v>23</v>
      </c>
      <c r="K73" s="9">
        <f t="shared" si="7"/>
        <v>2</v>
      </c>
      <c r="L73" s="9">
        <v>5</v>
      </c>
      <c r="M73" s="14">
        <v>0.43</v>
      </c>
    </row>
    <row r="74" spans="1:22" x14ac:dyDescent="0.25">
      <c r="A74" s="4" t="s">
        <v>254</v>
      </c>
      <c r="B74" s="4">
        <v>5</v>
      </c>
      <c r="C74" s="4" t="s">
        <v>255</v>
      </c>
      <c r="D74" s="4">
        <v>73</v>
      </c>
      <c r="E74" s="4"/>
      <c r="F74" s="4"/>
      <c r="G74" s="4" t="s">
        <v>256</v>
      </c>
      <c r="H74" s="8" t="s">
        <v>32</v>
      </c>
      <c r="I74" s="12" t="s">
        <v>29</v>
      </c>
      <c r="J74" s="13" t="s">
        <v>30</v>
      </c>
      <c r="K74" s="9">
        <f t="shared" si="7"/>
        <v>10</v>
      </c>
      <c r="L74" s="9">
        <v>10</v>
      </c>
      <c r="M74" s="14">
        <v>43.49</v>
      </c>
    </row>
    <row r="75" spans="1:22" x14ac:dyDescent="0.25">
      <c r="A75" s="4" t="s">
        <v>257</v>
      </c>
      <c r="B75" s="4">
        <v>1</v>
      </c>
      <c r="C75" s="4" t="s">
        <v>258</v>
      </c>
      <c r="D75" s="4">
        <v>74</v>
      </c>
      <c r="E75" s="4"/>
      <c r="F75" s="4"/>
      <c r="G75" s="4" t="s">
        <v>259</v>
      </c>
      <c r="H75" s="8" t="s">
        <v>31</v>
      </c>
      <c r="I75" s="12" t="s">
        <v>26</v>
      </c>
      <c r="J75" s="13" t="s">
        <v>27</v>
      </c>
      <c r="K75" s="9">
        <f t="shared" si="7"/>
        <v>2</v>
      </c>
      <c r="L75" s="9">
        <v>2</v>
      </c>
      <c r="M75" s="14">
        <v>7.49</v>
      </c>
    </row>
    <row r="76" spans="1:22" x14ac:dyDescent="0.25">
      <c r="A76" s="4" t="s">
        <v>260</v>
      </c>
      <c r="B76" s="4">
        <v>1</v>
      </c>
      <c r="C76" s="4" t="s">
        <v>261</v>
      </c>
      <c r="D76" s="4">
        <v>75</v>
      </c>
      <c r="E76" s="4"/>
      <c r="F76" s="4"/>
      <c r="G76" s="4" t="s">
        <v>262</v>
      </c>
      <c r="H76" s="8" t="s">
        <v>46</v>
      </c>
      <c r="I76" s="12" t="s">
        <v>44</v>
      </c>
      <c r="J76" s="13" t="s">
        <v>45</v>
      </c>
      <c r="K76" s="9">
        <f t="shared" si="7"/>
        <v>2</v>
      </c>
      <c r="L76" s="9">
        <v>5</v>
      </c>
      <c r="M76" s="14">
        <v>1.24</v>
      </c>
    </row>
    <row r="77" spans="1:22" x14ac:dyDescent="0.25">
      <c r="A77" s="4"/>
      <c r="B77" s="9"/>
      <c r="C77" s="8"/>
      <c r="D77" s="4"/>
      <c r="E77" s="4"/>
      <c r="F77" s="4"/>
      <c r="G77" s="4"/>
      <c r="H77" s="8"/>
      <c r="I77" s="4"/>
      <c r="J77" s="9"/>
      <c r="K77" s="9"/>
      <c r="L77" s="9"/>
      <c r="M77" s="4"/>
    </row>
    <row r="78" spans="1:22" x14ac:dyDescent="0.25">
      <c r="A78" s="4"/>
      <c r="B78" s="9"/>
      <c r="C78" s="8"/>
      <c r="D78" s="4"/>
      <c r="E78" s="4"/>
      <c r="F78" s="4"/>
      <c r="G78" s="4"/>
      <c r="H78" s="8"/>
      <c r="I78" s="4"/>
      <c r="J78" s="9"/>
      <c r="K78" s="9"/>
      <c r="L78" s="9"/>
      <c r="M78" s="4"/>
    </row>
    <row r="79" spans="1:22" x14ac:dyDescent="0.25">
      <c r="A79" s="4" t="s">
        <v>375</v>
      </c>
      <c r="B79" s="9"/>
      <c r="C79" s="8"/>
      <c r="D79" s="4"/>
      <c r="E79" s="4"/>
      <c r="F79" s="4"/>
      <c r="G79" s="4"/>
      <c r="H79" s="8"/>
      <c r="I79" s="8"/>
      <c r="J79" s="4"/>
      <c r="K79" s="4"/>
      <c r="L79" s="9"/>
      <c r="M79" s="9"/>
    </row>
    <row r="80" spans="1:22" x14ac:dyDescent="0.25">
      <c r="A80" s="4"/>
      <c r="B80" s="9"/>
      <c r="C80" s="8"/>
      <c r="D80" s="4"/>
      <c r="E80" s="4"/>
      <c r="F80" s="4"/>
      <c r="G80" s="4"/>
      <c r="H80" s="8" t="s">
        <v>83</v>
      </c>
      <c r="I80" s="12">
        <v>1757019</v>
      </c>
      <c r="J80" s="13" t="s">
        <v>82</v>
      </c>
      <c r="K80" s="13"/>
      <c r="L80" s="9">
        <v>10</v>
      </c>
      <c r="M80" s="11">
        <v>6.39</v>
      </c>
    </row>
    <row r="81" spans="1:13" x14ac:dyDescent="0.25">
      <c r="A81" s="4"/>
      <c r="B81" s="9"/>
      <c r="C81" s="8"/>
      <c r="D81" s="4"/>
      <c r="E81" s="4"/>
      <c r="F81" s="4"/>
      <c r="G81" s="4"/>
      <c r="H81" s="8" t="s">
        <v>289</v>
      </c>
      <c r="I81" s="12" t="s">
        <v>70</v>
      </c>
      <c r="J81" s="13" t="s">
        <v>71</v>
      </c>
      <c r="K81" s="13"/>
      <c r="L81" s="9">
        <v>5</v>
      </c>
      <c r="M81" s="11">
        <v>1.1399999999999999</v>
      </c>
    </row>
    <row r="82" spans="1:13" x14ac:dyDescent="0.25">
      <c r="A82" s="4"/>
      <c r="B82" s="9"/>
      <c r="C82" s="8"/>
      <c r="D82" s="4"/>
      <c r="E82" s="4"/>
      <c r="F82" s="4"/>
      <c r="G82" s="4"/>
      <c r="H82" s="8" t="s">
        <v>74</v>
      </c>
      <c r="I82" s="12" t="s">
        <v>72</v>
      </c>
      <c r="J82" s="13" t="s">
        <v>73</v>
      </c>
      <c r="K82" s="13"/>
      <c r="L82" s="9">
        <v>2</v>
      </c>
      <c r="M82" s="11">
        <v>0.65</v>
      </c>
    </row>
    <row r="83" spans="1:13" x14ac:dyDescent="0.25">
      <c r="A83" s="4"/>
      <c r="B83" s="9"/>
      <c r="C83" s="8"/>
      <c r="D83" s="4"/>
      <c r="E83" s="4"/>
      <c r="F83" s="4"/>
      <c r="G83" s="4"/>
      <c r="H83" s="8" t="s">
        <v>75</v>
      </c>
      <c r="I83" s="12" t="s">
        <v>76</v>
      </c>
      <c r="J83" s="13" t="s">
        <v>77</v>
      </c>
      <c r="K83" s="13"/>
      <c r="L83" s="9">
        <v>2</v>
      </c>
      <c r="M83" s="14">
        <v>0.96</v>
      </c>
    </row>
    <row r="84" spans="1:13" x14ac:dyDescent="0.25">
      <c r="A84" s="4"/>
      <c r="B84" s="9"/>
      <c r="C84" s="8"/>
      <c r="D84" s="4"/>
      <c r="E84" s="4"/>
      <c r="F84" s="4"/>
      <c r="G84" s="4"/>
      <c r="H84" s="8" t="s">
        <v>57</v>
      </c>
      <c r="I84" s="8" t="s">
        <v>56</v>
      </c>
      <c r="J84" s="4" t="s">
        <v>56</v>
      </c>
      <c r="K84" s="4"/>
      <c r="L84" s="9" t="s">
        <v>56</v>
      </c>
      <c r="M84" s="9" t="s">
        <v>56</v>
      </c>
    </row>
    <row r="85" spans="1:13" x14ac:dyDescent="0.25">
      <c r="A85" s="4"/>
      <c r="B85" s="9"/>
      <c r="C85" s="8"/>
      <c r="D85" s="4"/>
      <c r="E85" s="4"/>
      <c r="F85" s="4"/>
      <c r="G85" s="4"/>
      <c r="H85" s="8" t="s">
        <v>58</v>
      </c>
      <c r="I85" s="8" t="s">
        <v>56</v>
      </c>
      <c r="J85" s="4" t="s">
        <v>56</v>
      </c>
      <c r="K85" s="4"/>
      <c r="L85" s="9" t="s">
        <v>56</v>
      </c>
      <c r="M85" s="9" t="s">
        <v>56</v>
      </c>
    </row>
    <row r="86" spans="1:13" x14ac:dyDescent="0.25">
      <c r="A86" s="4"/>
      <c r="B86" s="9"/>
      <c r="C86" s="8"/>
      <c r="D86" s="4"/>
      <c r="E86" s="4"/>
      <c r="F86" s="4"/>
      <c r="G86" s="4"/>
      <c r="H86" s="8"/>
      <c r="I86" s="8"/>
      <c r="J86" s="4"/>
      <c r="K86" s="4"/>
      <c r="L86" s="9"/>
      <c r="M86" s="9"/>
    </row>
    <row r="87" spans="1:13" x14ac:dyDescent="0.25">
      <c r="A87" s="4"/>
      <c r="B87" s="9"/>
      <c r="C87" s="8"/>
      <c r="D87" s="4"/>
      <c r="E87" s="4"/>
      <c r="F87" s="4"/>
      <c r="G87" s="4"/>
      <c r="H87" s="8"/>
      <c r="I87" s="8"/>
      <c r="J87" s="4"/>
      <c r="K87" s="4"/>
      <c r="L87" s="9"/>
      <c r="M87" s="9" t="str">
        <f>TEXT(SUM(M18:M86), "€###.##")</f>
        <v>€130.36</v>
      </c>
    </row>
    <row r="95" spans="1:13" x14ac:dyDescent="0.25">
      <c r="B95" s="9">
        <f>SUM(B2:B84)</f>
        <v>267</v>
      </c>
    </row>
    <row r="103" spans="9:13" x14ac:dyDescent="0.25">
      <c r="I103" s="3"/>
      <c r="J103"/>
      <c r="K103"/>
      <c r="M103" s="2"/>
    </row>
    <row r="104" spans="9:13" x14ac:dyDescent="0.25">
      <c r="I104" s="3"/>
      <c r="J104"/>
      <c r="K104"/>
      <c r="M104" s="2"/>
    </row>
    <row r="110" spans="9:13" x14ac:dyDescent="0.25">
      <c r="I110" s="3"/>
      <c r="J110"/>
      <c r="K110"/>
      <c r="M110" s="2"/>
    </row>
  </sheetData>
  <phoneticPr fontId="2" type="noConversion"/>
  <conditionalFormatting sqref="A1:M87">
    <cfRule type="expression" dxfId="3" priority="9">
      <formula>MOD(ROW(A1), 2)=1</formula>
    </cfRule>
  </conditionalFormatting>
  <conditionalFormatting sqref="L2:L83">
    <cfRule type="expression" dxfId="2" priority="4">
      <formula>L2 &gt; K2</formula>
    </cfRule>
    <cfRule type="expression" dxfId="1" priority="5">
      <formula>L2 = K2</formula>
    </cfRule>
    <cfRule type="expression" dxfId="0" priority="8">
      <formula>L2 &lt; K2</formula>
    </cfRule>
  </conditionalFormatting>
  <hyperlinks>
    <hyperlink ref="I20" r:id="rId1" tooltip="SMBJ64A" display="https://www.lcsc.com/product-detail/C19077594.html?s_z=n_smbj64a" xr:uid="{B37CD21A-A8ED-4D97-B575-677CE98139FE}"/>
    <hyperlink ref="J20" r:id="rId2" tooltip="C19077594" display="https://www.lcsc.com/product-detail/C19077594.html?s_z=n_smbj64a" xr:uid="{92B268A9-F82A-4228-BBF7-8993B208D663}"/>
    <hyperlink ref="I24" r:id="rId3" tooltip="1N4148WT" display="https://www.lcsc.com/product-detail/C917006.html?s_z=n_1n4148" xr:uid="{F5B9646E-343A-4E4C-ADAB-49ABFC2B6E08}"/>
    <hyperlink ref="J24" r:id="rId4" tooltip="C917006" display="https://www.lcsc.com/product-detail/C917006.html?s_z=n_1n4148" xr:uid="{F2760A91-8F18-48B8-AA6D-5B81F1114A39}"/>
    <hyperlink ref="I44" r:id="rId5" tooltip="IHLP4040DZER6R8M01" display="https://www.lcsc.com/product-detail/C845080.html?s_z=h_IHLP4040DZER6R8M01" xr:uid="{11D5E322-3CD5-4DDC-80C6-08C6335D8577}"/>
    <hyperlink ref="J44" r:id="rId6" tooltip="C845080" display="https://www.lcsc.com/product-detail/C845080.html?s_z=h_IHLP4040DZER6R8M01" xr:uid="{17250AEF-EBAC-461F-B17C-E47BC7D56B9F}"/>
    <hyperlink ref="I46" r:id="rId7" tooltip="BC817-40,215" display="https://www.lcsc.com/product-detail/C52801.html?s_z=n_bc817" xr:uid="{92BECEE4-60DC-496F-BE91-693FB56B4FFA}"/>
    <hyperlink ref="J46" r:id="rId8" tooltip="C52801" display="https://www.lcsc.com/product-detail/C52801.html?s_z=n_bc817" xr:uid="{A689EE12-CF0E-40FC-ADA7-BC88A3DBEA1C}"/>
    <hyperlink ref="J25" r:id="rId9" tooltip="C283259" display="https://www.lcsc.com/product-detail/C283259.html?s_z=n_BAT54KFILM" xr:uid="{C769A297-450F-4879-91D1-8A1512E65670}"/>
    <hyperlink ref="I25" r:id="rId10" tooltip="BAT54KFILM" display="https://www.lcsc.com/product-detail/C283259.html?s_z=n_BAT54KFILM" xr:uid="{3BEC007E-1560-40B5-A788-84C4A6BE8C62}"/>
    <hyperlink ref="I28" r:id="rId11" tooltip="USB-302-T" display="https://www.lcsc.com/product-detail/C112456.html?s_z=n_usb_a_stewart" xr:uid="{40B096E2-BB98-4F99-81B7-25FDABF95E89}"/>
    <hyperlink ref="J28" r:id="rId12" tooltip="C112456" display="https://www.lcsc.com/product-detail/C112456.html?s_z=n_usb_a_stewart" xr:uid="{B348E880-81B9-4C25-A360-0255FCCCC7BA}"/>
    <hyperlink ref="I73" r:id="rId13" tooltip="NE555DR" display="https://www.lcsc.com/product-detail/C7593.html?s_z=n_ne555d" xr:uid="{14E5867B-360A-4FC3-8893-42C4F43152AE}"/>
    <hyperlink ref="J73" r:id="rId14" tooltip="C7593" display="https://www.lcsc.com/product-detail/C7593.html?s_z=n_ne555d" xr:uid="{303C620B-FD88-4F77-9657-8B20B2D368B0}"/>
    <hyperlink ref="I66" r:id="rId15" tooltip="STMPS2141STR" display="https://www.lcsc.com/product-detail/C54624.html?s_z=n_stmps2141str" xr:uid="{C46189B4-28FF-42CE-8EDC-D40B9358E611}"/>
    <hyperlink ref="J66" r:id="rId16" tooltip="C54624" display="https://www.lcsc.com/product-detail/C54624.html?s_z=n_stmps2141str" xr:uid="{1C85CE72-0AEB-4E06-B5A8-C096085AB0C3}"/>
    <hyperlink ref="I75" r:id="rId17" tooltip="STM32F407VGT6" display="https://www.lcsc.com/product-detail/C12345.html?s_z=n_stm32f407vgt" xr:uid="{74772130-2DBD-4CF6-8015-FFD71266297B}"/>
    <hyperlink ref="J75" r:id="rId18" tooltip="C12345" display="https://www.lcsc.com/product-detail/C12345.html?s_z=n_stm32f407vgt" xr:uid="{1C084F6B-38BE-438D-9888-7B889C99C68D}"/>
    <hyperlink ref="I74" r:id="rId19" tooltip="TMC2130-TA-T" display="https://www.lcsc.com/product-detail/C328952.html?s_z=n_tmc2130-TA" xr:uid="{6B75478F-9FA2-462A-9F68-2B54CB1B3B89}"/>
    <hyperlink ref="J74" r:id="rId20" tooltip="C328952" display="https://www.lcsc.com/product-detail/C328952.html?s_z=n_tmc2130-TA" xr:uid="{65E8CDE7-874A-4CCB-8EA2-6646D29267CA}"/>
    <hyperlink ref="I70" r:id="rId21" tooltip="AP7361C-33E-13" display="https://www.lcsc.com/product-detail/C500795.html?s_z=n_ap7361C-33E" xr:uid="{BFF7228C-1E0D-4FF1-913C-786A84FD078E}"/>
    <hyperlink ref="J70" r:id="rId22" tooltip="C500795" display="https://www.lcsc.com/product-detail/C500795.html?s_z=n_ap7361C-33E" xr:uid="{5288A30E-2E4A-4608-9032-304EF6B24D0A}"/>
    <hyperlink ref="I71" r:id="rId23" tooltip="TC4427EOA" display="https://www.lcsc.com/product-detail/C636891.html?s_z=n_tc4427xoa" xr:uid="{3DA3F4A7-B79F-434C-8042-046A6C9CD562}"/>
    <hyperlink ref="J71" r:id="rId24" tooltip="C636891" display="https://www.lcsc.com/product-detail/C636891.html?s_z=n_tc4427xoa" xr:uid="{3DB6B794-02E9-472E-82EA-B9B84F632690}"/>
    <hyperlink ref="I69" r:id="rId25" tooltip="USBLC6-2SC6" display="https://www.lcsc.com/product-detail/C7519.html?s_z=n_usblc6" xr:uid="{1CF0FDA0-14CC-4363-933B-E6DBB18C652C}"/>
    <hyperlink ref="J69" r:id="rId26" tooltip="C7519" display="https://www.lcsc.com/product-detail/C7519.html?s_z=n_usblc6" xr:uid="{87B70F11-0227-4D90-A65D-F6D26601C835}"/>
    <hyperlink ref="I76" r:id="rId27" tooltip="NX3225GA-25.000M-STD-CRG-2" display="https://www.lcsc.com/product-detail/C1985619.html?s_z=n_NX3225GA%252025MHz%2520EXS00A-CG06750" xr:uid="{90CC860E-450C-48F6-86E9-838A8FACD2FE}"/>
    <hyperlink ref="J76" r:id="rId28" tooltip="C1985619" display="https://www.lcsc.com/product-detail/C1985619.html?s_z=n_NX3225GA%252025MHz%2520EXS00A-CG06750" xr:uid="{AFAA1BA9-8073-4405-965B-1A1AE5D511E7}"/>
    <hyperlink ref="I45" r:id="rId29" tooltip="NVMFWS4D5N08XT1G" display="https://www.lcsc.com/product-detail/C29841638.html" xr:uid="{E80CF41C-F6A6-4942-914E-CD7E5B0E3B3C}"/>
    <hyperlink ref="J45" r:id="rId30" tooltip="C29841638" display="https://www.lcsc.com/product-detail/C29841638.html" xr:uid="{868A331A-5CA0-4978-8C2C-7D0F903C3E16}"/>
    <hyperlink ref="I68" r:id="rId31" tooltip="B3F-3120" display="https://www.lcsc.com/product-detail/C231318.html?s_z=n_st%2520omron%2520b3f%2520315" xr:uid="{D30F5C78-C3AE-49FF-95BE-186D021D71C5}"/>
    <hyperlink ref="J68" r:id="rId32" tooltip="C231318" display="https://www.lcsc.com/product-detail/C231318.html?s_z=n_st%2520omron%2520b3f%2520315" xr:uid="{ACC42B03-2F52-4B56-B80B-49088BDB7FBF}"/>
    <hyperlink ref="I72" r:id="rId33" tooltip="SN74LV4T125PWR" display="https://www.lcsc.com/product-detail/C90755.html?s_z=n_SN74LV4T125-EP" xr:uid="{E0CC58FA-5B91-4434-9BB9-81E491A7EF1F}"/>
    <hyperlink ref="J72" r:id="rId34" tooltip="C90755" display="https://www.lcsc.com/product-detail/C90755.html?s_z=n_SN74LV4T125-EP" xr:uid="{B4E41D2B-A8D9-4B19-8A18-036DFE30B679}"/>
    <hyperlink ref="I29" r:id="rId35" tooltip="TYPE-C-31-M-12" display="https://www.lcsc.com/product-detail/C165948.html?s_z=n_TYPE-C-31-M" xr:uid="{48B9F047-95DC-4531-BBC7-2DF2F7540E6E}"/>
    <hyperlink ref="J29" r:id="rId36" tooltip="C165948" display="https://www.lcsc.com/product-detail/C165948.html?s_z=n_TYPE-C-31-M" xr:uid="{EBB62FD9-AF19-431D-AC91-1345E752617D}"/>
    <hyperlink ref="I35" r:id="rId37" tooltip="63849-1" display="https://www.lcsc.com/product-detail/C86469.html?s_z=n_faston" xr:uid="{8170730D-62BE-4AF9-A9B9-7B0024EAB235}"/>
    <hyperlink ref="J35" r:id="rId38" tooltip="C86469" display="https://www.lcsc.com/product-detail/C86469.html?s_z=n_faston" xr:uid="{1F3F9A86-3A2B-434E-BC48-26D018AF4221}"/>
    <hyperlink ref="I37" r:id="rId39" tooltip="1711725" display="https://www.lcsc.com/product-detail/C89120.html?s_z=s_Connectors%252C%2520Interconnects%257CTerminal%2520Blocks%257CWire%2520to%2520Board" xr:uid="{449AB1F7-8979-471D-8AD4-B22CD6F27858}"/>
    <hyperlink ref="J37" r:id="rId40" tooltip="C89120" display="https://www.lcsc.com/product-detail/C89120.html?s_z=s_Connectors%252C%2520Interconnects%257CTerminal%2520Blocks%257CWire%2520to%2520Board" xr:uid="{30883A48-2E95-4045-8FE7-2B213FCCE85A}"/>
    <hyperlink ref="I26" r:id="rId41" tooltip="XF-508P-B-B" display="https://www.lcsc.com/product-detail/C19727305.html" xr:uid="{219D8F1F-B634-4BB4-BF0B-B1F414CCA3EB}"/>
    <hyperlink ref="J26" r:id="rId42" tooltip="C19727305" display="https://www.lcsc.com/product-detail/C19727305.html" xr:uid="{2951910E-C2F9-49D6-A622-CE1BD9CEC1A5}"/>
    <hyperlink ref="I81" r:id="rId43" tooltip="SS11-BBIWG-R20-R" display="https://www.lcsc.com/product-detail/C309069.html" xr:uid="{B0B5BB9E-82EC-403A-95C9-241B7443628B}"/>
    <hyperlink ref="J81" r:id="rId44" tooltip="C309069" display="https://www.lcsc.com/product-detail/C309069.html" xr:uid="{19211E81-BF32-4325-91D1-DFE0BC3D56ED}"/>
    <hyperlink ref="I82" r:id="rId45" tooltip="0997010.WXN" display="https://www.lcsc.com/product-detail/C207026.html" xr:uid="{A0D54C09-D2E3-4242-A921-1991E4AB1A69}"/>
    <hyperlink ref="J82" r:id="rId46" tooltip="C207026" display="https://www.lcsc.com/product-detail/C207026.html" xr:uid="{1B9D2654-90D1-49E5-9B79-C729B6590B4C}"/>
    <hyperlink ref="I83" r:id="rId47" tooltip="0997003.WXN" display="https://www.lcsc.com/product-detail/C3661685.html" xr:uid="{495B4E7C-85FC-43D1-9FBC-EB266F490267}"/>
    <hyperlink ref="J83" r:id="rId48" tooltip="C3661685" display="https://www.lcsc.com/product-detail/C3661685.html" xr:uid="{8C3F382F-EF5F-4C75-91BC-4A11FFEDF242}"/>
    <hyperlink ref="I67" r:id="rId49" tooltip="SDDJF31100" display="https://www.lcsc.com/product-detail/C380204.html" xr:uid="{FFF235D2-8827-4D6A-8F64-2B3C98CBB2DE}"/>
    <hyperlink ref="J67" r:id="rId50" tooltip="C380204" display="https://www.lcsc.com/product-detail/C380204.html" xr:uid="{89C81A18-419E-41D0-BD85-B2125EBEA955}"/>
    <hyperlink ref="I18" r:id="rId51" tooltip="DSK24L" display="https://www.lcsc.com/product-detail/C19272974.html" xr:uid="{778B0EEA-1521-4D50-B097-9DA098605487}"/>
    <hyperlink ref="J18" r:id="rId52" tooltip="C19272974" display="https://www.lcsc.com/product-detail/C19272974.html" xr:uid="{CC39FCBB-1221-477C-8EE5-64122BF34660}"/>
    <hyperlink ref="I80" r:id="rId53" tooltip="1757019" display="https://www.lcsc.com/product-detail/C90073.html" xr:uid="{5FCC48DA-7833-4A17-9CFC-2E16CAF57E71}"/>
    <hyperlink ref="J80" r:id="rId54" tooltip="C90073" display="https://www.lcsc.com/product-detail/C90073.html" xr:uid="{866C358D-BBF3-4E7A-AEED-795CF9BF9202}"/>
    <hyperlink ref="I31" r:id="rId55" tooltip="1923869" display="https://www.lcsc.com/product-detail/C5443585.html" xr:uid="{196F7E50-E06C-452D-8148-90F9A3DF6414}"/>
    <hyperlink ref="J31" r:id="rId56" tooltip="C5443585" display="https://www.lcsc.com/product-detail/C5443585.html" xr:uid="{DD273034-699D-45CF-BE75-EA6CA674F243}"/>
    <hyperlink ref="I47" r:id="rId57" tooltip="BC807-40,215" display="https://www.lcsc.com/product-detail/C57316.html?s_z=n_nexperia%2520bc807-40%252C215" xr:uid="{7C9670EC-A4DE-45F6-8FA0-07592F339611}"/>
    <hyperlink ref="J47" r:id="rId58" tooltip="C57316" display="https://www.lcsc.com/product-detail/C57316.html?s_z=n_nexperia%2520bc807-40%252C215" xr:uid="{B5D84F31-078C-48B3-B9D6-EBD763CB0F21}"/>
    <hyperlink ref="I19" r:id="rId59" tooltip="A-SP192DGHC-C01-4T" display="https://www.lcsc.com/product-detail/C19171301.html?s_z=n_amicc%2520A-SP192D" xr:uid="{2F1E8A10-BACC-45A2-8246-1A96238F87CB}"/>
    <hyperlink ref="J19" r:id="rId60" tooltip="C19171301" display="https://www.lcsc.com/product-detail/C19171301.html?s_z=n_amicc%2520A-SP192D" xr:uid="{C8307332-A60D-4EB2-B394-8B96983BD83A}"/>
    <hyperlink ref="I21" r:id="rId61" tooltip="A-SP192DB1C-C01-4T" display="https://www.lcsc.com/product-detail/C5355419.html?s_z=n_amicc%2520A-SP192D" xr:uid="{F455547B-0275-4315-8A30-22879301C0AD}"/>
    <hyperlink ref="J21" r:id="rId62" tooltip="C5355419" display="https://www.lcsc.com/product-detail/C5355419.html?s_z=n_amicc%2520A-SP192D" xr:uid="{722F7727-E26B-4C12-9339-0A707425BCE9}"/>
    <hyperlink ref="I22" r:id="rId63" tooltip="A-SP192DG2C-C01-4T" display="https://www.lcsc.com/product-detail/C5151486.html?s_z=n_amicc%2520A-SP192D" xr:uid="{5B831771-45B1-4B7F-B32E-C30CC4419EB9}"/>
    <hyperlink ref="J22" r:id="rId64" tooltip="C5151486" display="https://www.lcsc.com/product-detail/C5151486.html?s_z=n_amicc%2520A-SP192D" xr:uid="{2B5FA9CA-F1E6-42C3-A0FD-13CDF066E659}"/>
    <hyperlink ref="J23" r:id="rId65" tooltip="C191023" display="https://www.lcsc.com/product-detail/C191023.html?s_z=n_1n5819" xr:uid="{41173D4A-81D0-4CA5-89E2-05E9B33E4F29}"/>
    <hyperlink ref="I23" r:id="rId66" tooltip="1N5819WS" display="https://www.lcsc.com/product-detail/C191023.html?s_z=n_1n5819" xr:uid="{2C36DCFF-EE18-407E-A170-7BDECE2D57E8}"/>
    <hyperlink ref="I27" r:id="rId67" tooltip="LM76005QRNPRQ1" display="https://www.lcsc.com/product-detail/C2873394.html?s_z=n_LM76005" xr:uid="{415CF9B8-8EEC-4520-ABC9-FBA95E731879}"/>
    <hyperlink ref="J27" r:id="rId68" tooltip="C2873394" display="https://www.lcsc.com/product-detail/C2873394.html?s_z=n_LM76005" xr:uid="{2C64DF75-0918-418F-9534-D24CFCF81589}"/>
    <hyperlink ref="I30" r:id="rId69" tooltip="B2B-XH-A(LF)(SN)" display="https://www.lcsc.com/product-detail/C158012.html" xr:uid="{4D33938D-E972-4C13-B9C0-3054BC429A4C}"/>
    <hyperlink ref="J30" r:id="rId70" tooltip="C158012" display="https://www.lcsc.com/product-detail/C158012.html" xr:uid="{538EF99D-9E64-4BC0-AF0A-31BA20E11221}"/>
    <hyperlink ref="I34" r:id="rId71" tooltip="B3B-XH-A(LF)(SN)" display="https://www.lcsc.com/product-detail/C144394.html" xr:uid="{F3A2054E-A59C-4C3B-A6D3-E6A52656115C}"/>
    <hyperlink ref="J34" r:id="rId72" tooltip="C144394" display="https://www.lcsc.com/product-detail/C144394.html" xr:uid="{A16006A0-9D0C-4923-9971-4E157D6A21AA}"/>
    <hyperlink ref="I39" r:id="rId73" tooltip="B4B-XH-A(LF)(SN)" display="https://www.lcsc.com/product-detail/C144395.html" xr:uid="{C9A4FC98-504C-4E00-867F-DB9EF9083F66}"/>
    <hyperlink ref="J39" r:id="rId74" tooltip="C144395" display="https://www.lcsc.com/product-detail/C144395.html" xr:uid="{6BCDE6BC-3D80-4C72-BE7A-0B27450753A9}"/>
    <hyperlink ref="I40" r:id="rId75" tooltip="PZ2.54-1X6P-H25" display="https://www.lcsc.com/product-detail/C42431790.html" xr:uid="{9CC94D5A-F122-449A-90E0-6F7DE6DA810B}"/>
    <hyperlink ref="J40" r:id="rId76" tooltip="C42431790" display="https://www.lcsc.com/product-detail/C42431790.html" xr:uid="{4DF9D9F6-7601-4257-8144-DB2700A19450}"/>
    <hyperlink ref="I38" r:id="rId77" tooltip="PH2.54-1X2P-H25" display="https://www.lcsc.com/product-detail/C42431798.html" xr:uid="{7A22F10F-CC1C-44A0-830D-1B5E49DB5DA4}"/>
    <hyperlink ref="J38" r:id="rId78" tooltip="C42431798" display="https://www.lcsc.com/product-detail/C42431798.html" xr:uid="{DDBE513A-DC9A-4BAB-AECB-620253F9C7AA}"/>
    <hyperlink ref="I32" r:id="rId79" tooltip="PM2.54-2X8PM-H85" display="https://www.lcsc.com/product-detail/C42431844.html" xr:uid="{12D856CC-922E-4773-AE6B-6BFD49CC843B}"/>
    <hyperlink ref="J32" r:id="rId80" tooltip="C42431844" display="https://www.lcsc.com/product-detail/C42431844.html" xr:uid="{7D377C9B-ED12-47E1-8C0A-8D20C84ACD47}"/>
    <hyperlink ref="I41" r:id="rId81" tooltip="PM2.54-1X3P-H85" display="https://www.lcsc.com/product-detail/C42431866.html" xr:uid="{90135349-6E29-4744-9455-F49CA92D06FA}"/>
    <hyperlink ref="J41" r:id="rId82" tooltip="C42431866" display="https://www.lcsc.com/product-detail/C42431866.html" xr:uid="{E04E2743-C21F-4129-9615-4C5749B6AF55}"/>
    <hyperlink ref="I33" r:id="rId83" tooltip="PM2.54-1X4PM-H85" display="https://www.lcsc.com/product-detail/C42431839.html" xr:uid="{9A7AA275-9FB4-4D60-A71A-1AE10DB81136}"/>
    <hyperlink ref="J33" r:id="rId84" tooltip="C42431839" display="https://www.lcsc.com/product-detail/C42431839.html" xr:uid="{FAECC018-48C7-436C-9CC4-50A6129600FA}"/>
    <hyperlink ref="I42" r:id="rId85" tooltip="PM2.54-1X2PM-H85" display="https://www.lcsc.com/product-detail/C42431841.html" xr:uid="{4553B57B-68DE-4D09-B6A6-549C01EA8D51}"/>
    <hyperlink ref="J42" r:id="rId86" tooltip="C42431841" display="https://www.lcsc.com/product-detail/C42431841.html" xr:uid="{CC80DDF4-B274-4FE9-B2BB-56DD649D05AD}"/>
    <hyperlink ref="I65" r:id="rId87" tooltip="FBF06FTPR120-00L" display="https://www.lcsc.com/product-detail/C382272.html" xr:uid="{D85A2544-B0D6-4C95-B483-736DD5FE8924}"/>
    <hyperlink ref="J65" r:id="rId88" tooltip="C382272" display="https://www.lcsc.com/product-detail/C382272.html" xr:uid="{17FE0580-2E14-4843-8E91-8F88CF1212EC}"/>
    <hyperlink ref="I5" r:id="rId89" tooltip="593D227X0010E2TE3" display="https://www.lcsc.com/product-detail/C1952898.html?s_z=n_593D227X0010E2TE3" xr:uid="{1B90653C-9956-4E69-B9E5-02E08810615F}"/>
    <hyperlink ref="J5" r:id="rId90" tooltip="C1952898" display="https://www.lcsc.com/product-detail/C1952898.html?s_z=n_593D227X0010E2TE3" xr:uid="{CEB34962-C71A-449D-87C6-38F9CD7DE0C2}"/>
    <hyperlink ref="J4" r:id="rId91" tooltip="C2177586" display="https://www.lcsc.com/product-detail/C2177586.html" xr:uid="{407C49FB-17AA-46E1-9355-9885EB74EFFE}"/>
    <hyperlink ref="J6" r:id="rId92" tooltip="C2313088" display="https://www.lcsc.com/product-detail/C2313088.html" xr:uid="{5E9E4712-2C50-46DA-BF54-10EB6CC23A1D}"/>
    <hyperlink ref="J7" r:id="rId93" tooltip="C694475" display="https://www.lcsc.com/product-detail/C694475.html" xr:uid="{CA95249F-6E26-4211-B1CC-40C97B6F475E}"/>
    <hyperlink ref="J8" r:id="rId94" tooltip="C76612" display="https://www.lcsc.com/product-detail/C76612.html" xr:uid="{CBB2E093-2D1D-43AC-80CC-EFFE0330FE74}"/>
    <hyperlink ref="I10" r:id="rId95" tooltip="EEEFK1J100P" display="https://www.lcsc.com/product-detail/C128459.html" xr:uid="{A2A1EC78-8E17-420F-8A4F-8F20EEF0B616}"/>
    <hyperlink ref="J10" r:id="rId96" tooltip="C128459" display="https://www.lcsc.com/product-detail/C128459.html" xr:uid="{B37BA83E-9BD3-4A86-8382-4D942576DB7F}"/>
    <hyperlink ref="I2" r:id="rId97" tooltip="CC0603KRX7R9BB104" display="https://www.lcsc.com/product-detail/C14663.html" xr:uid="{CF943D25-95C9-4884-828A-CBBC6F226EBD}"/>
    <hyperlink ref="J2" r:id="rId98" tooltip="C14663" display="https://www.lcsc.com/product-detail/C14663.html" xr:uid="{14DC31D5-A41B-4F2D-A585-1DB882381532}"/>
    <hyperlink ref="I11" r:id="rId99" tooltip="CC0603KRX7R9BB103" display="https://www.lcsc.com/product-detail/C100042.html" xr:uid="{ED98D96A-3B59-4B75-A1A8-CD8A25878226}"/>
    <hyperlink ref="J11" r:id="rId100" tooltip="C100042" display="https://www.lcsc.com/product-detail/C100042.html" xr:uid="{7AEB1464-17CD-4BA7-B694-6B11056E67FF}"/>
    <hyperlink ref="I13" r:id="rId101" tooltip="CC0603KRX7R9BB223" display="https://www.lcsc.com/product-detail/C106222.html" xr:uid="{CD47DD31-C059-4961-A3FB-13DCD25F8A6D}"/>
    <hyperlink ref="J13" r:id="rId102" tooltip="C106222" display="https://www.lcsc.com/product-detail/C106222.html" xr:uid="{6307C680-9F37-4421-B65F-07117EAE2FDF}"/>
    <hyperlink ref="I14" r:id="rId103" tooltip="CL10A105KB8NNNC" display="https://www.lcsc.com/product-detail/C15849.html" xr:uid="{39FE1024-52D1-4437-8C2C-090AB274006C}"/>
    <hyperlink ref="J14" r:id="rId104" tooltip="C15849" display="https://www.lcsc.com/product-detail/C15849.html" xr:uid="{CDF2B8D2-8A73-49D5-AA16-CA7D8D57EFE6}"/>
    <hyperlink ref="I15" r:id="rId105" tooltip="CL10C080DB81PNC" display="https://www.lcsc.com/product-detail/C346204.html" xr:uid="{4F7CD33A-B2CF-42C3-8975-2D756784C52E}"/>
    <hyperlink ref="J15" r:id="rId106" tooltip="C346204" display="https://www.lcsc.com/product-detail/C346204.html" xr:uid="{72F53B5A-B769-4A3A-AB85-74889104F702}"/>
    <hyperlink ref="I3" r:id="rId107" tooltip="CL21A475KBQNNNE" display="https://www.lcsc.com/product-detail/C98192.html" xr:uid="{F9E6377B-FCFE-4F91-B488-D18FECF07039}"/>
    <hyperlink ref="J3" r:id="rId108" tooltip="C98192" display="https://www.lcsc.com/product-detail/C98192.html" xr:uid="{A35957E2-7079-4E53-B3DA-542F928E49FB}"/>
    <hyperlink ref="J12" r:id="rId109" tooltip="C513577" display="https://www.lcsc.com/product-detail/C513577.html" xr:uid="{949DC8DD-5602-4FA3-B1A6-2C4B9D6398AA}"/>
    <hyperlink ref="I12" r:id="rId110" tooltip="CC0603KRX7R9BB474" display="https://www.lcsc.com/product-detail/C513577.html" xr:uid="{FB925920-4016-4C4E-994B-2DD964A5AAE1}"/>
    <hyperlink ref="I16" r:id="rId111" tooltip="CL10A225KB8NNNC" display="https://www.lcsc.com/product-detail/C913904.html" xr:uid="{24086A1A-0733-495E-8551-1FEB338D84A7}"/>
    <hyperlink ref="J16" r:id="rId112" tooltip="C913904" display="https://www.lcsc.com/product-detail/C913904.html" xr:uid="{8ED56F55-1491-4A8F-9BEE-1C8789E5BFB0}"/>
    <hyperlink ref="I36" r:id="rId113" tooltip="DIN-422" display="https://www.lcsc.com/product-detail/C2939341.html" xr:uid="{9D4F8C98-9EFF-4C98-9134-B45FA3937DD3}"/>
    <hyperlink ref="J36" r:id="rId114" tooltip="C2939341" display="https://www.lcsc.com/product-detail/C2939341.html" xr:uid="{91939D3C-9652-4485-8C26-F16FA2F1645B}"/>
    <hyperlink ref="I43" r:id="rId115" tooltip="G2RL-1A-E DC5" display="https://www.lcsc.com/product-detail/C397259.html?s_z=n_G2RL-1A-E" xr:uid="{15E80F00-4404-4A07-943C-BEFFFB8D4F55}"/>
    <hyperlink ref="J43" r:id="rId116" tooltip="C397259" display="https://www.lcsc.com/product-detail/C397259.html?s_z=n_G2RL-1A-E" xr:uid="{4C0F8879-A896-41B2-9396-597D31E2A069}"/>
    <hyperlink ref="I58" r:id="rId117" tooltip="RC0603FR-07100RL" display="https://www.lcsc.com/product-detail/C105588.html" xr:uid="{75FA547A-4AED-4A9E-B941-A862DAB175BA}"/>
    <hyperlink ref="J58" r:id="rId118" tooltip="C105588" display="https://www.lcsc.com/product-detail/C105588.html" xr:uid="{5B811A0F-D745-4F93-A25D-EACB397AC16F}"/>
    <hyperlink ref="I51" r:id="rId119" tooltip="RC0603FR-07120RL" display="https://www.lcsc.com/product-detail/C114640.html" xr:uid="{24C06CD8-709E-4D3E-8622-08B0E12B2A04}"/>
    <hyperlink ref="J51" r:id="rId120" tooltip="C114640" display="https://www.lcsc.com/product-detail/C114640.html" xr:uid="{E82E97D6-0F37-4E38-9DAC-D91F2A7E3519}"/>
    <hyperlink ref="I64" r:id="rId121" tooltip="RC0603FR-0710RL" display="https://www.lcsc.com/product-detail/C109318.html" xr:uid="{3AF09D6E-60A0-4C9E-8D6B-72BBF2AC564A}"/>
    <hyperlink ref="J64" r:id="rId122" tooltip="C109318" display="https://www.lcsc.com/product-detail/C109318.html" xr:uid="{463D12B3-1A06-460D-9306-9B7F384D6226}"/>
    <hyperlink ref="I59" r:id="rId123" tooltip="RC0805FR-0710RL" display="https://www.lcsc.com/product-detail/C96347.html" xr:uid="{9151BB1E-8305-4C3C-BA2B-63888A95A2E6}"/>
    <hyperlink ref="J59" r:id="rId124" tooltip="C96347" display="https://www.lcsc.com/product-detail/C96347.html" xr:uid="{3A5D635E-D936-4629-8548-DA51C962020E}"/>
    <hyperlink ref="I63" r:id="rId125" tooltip="RC0603FR-07300RL" display="https://www.lcsc.com/product-detail/C114617.html" xr:uid="{31245302-9BF5-4416-B02B-2A80CECE3C27}"/>
    <hyperlink ref="J63" r:id="rId126" tooltip="C114617" display="https://www.lcsc.com/product-detail/C114617.html" xr:uid="{897A40A9-89EF-4C2B-B890-A9E595284777}"/>
    <hyperlink ref="I52" r:id="rId127" tooltip="RC0603FR-07470RL" display="https://www.lcsc.com/product-detail/C114669.html" xr:uid="{EAEF7863-CD0D-4E36-A388-B02563F83292}"/>
    <hyperlink ref="J52" r:id="rId128" tooltip="C114669" display="https://www.lcsc.com/product-detail/C114669.html" xr:uid="{D8FECF7C-621C-418B-9C02-E0B1F702B350}"/>
    <hyperlink ref="I49" r:id="rId129" tooltip="RC0603FR-07620RL" display="https://www.lcsc.com/product-detail/C137695.html" xr:uid="{058EC390-8912-4E4E-BAAD-2D8A0D21482C}"/>
    <hyperlink ref="J49" r:id="rId130" tooltip="C137695" display="https://www.lcsc.com/product-detail/C137695.html" xr:uid="{0E135BE2-F239-4CC8-9468-298947F989BC}"/>
    <hyperlink ref="I56" r:id="rId131" tooltip="RC0603FR-071KL" display="https://www.lcsc.com/product-detail/C22548.html" xr:uid="{81EA21F9-DC3A-450D-BF11-3C4CBC07EC9A}"/>
    <hyperlink ref="J56" r:id="rId132" tooltip="C22548" display="https://www.lcsc.com/product-detail/C22548.html" xr:uid="{FBD34AAA-5DF8-4171-AE23-0F3D6DE150F4}"/>
    <hyperlink ref="I61" r:id="rId133" tooltip="RC0603FR-071K8L" display="https://www.lcsc.com/product-detail/C185354.html" xr:uid="{2EB0EED3-08B0-4D1C-B2C7-496185FDC20E}"/>
    <hyperlink ref="J61" r:id="rId134" tooltip="C185354" display="https://www.lcsc.com/product-detail/C185354.html" xr:uid="{0330E37F-774C-4840-A656-871D5C91E11D}"/>
    <hyperlink ref="I62" r:id="rId135" tooltip="RC0603FR-0710KL" display="https://www.lcsc.com/product-detail/C98220.html" xr:uid="{D0E8D119-725B-44CA-9CCB-D60EE41962F8}"/>
    <hyperlink ref="J62" r:id="rId136" tooltip="C98220" display="https://www.lcsc.com/product-detail/C98220.html" xr:uid="{E139EEAB-BED5-456C-B7AD-6AACEB7ED141}"/>
    <hyperlink ref="I55" r:id="rId137" tooltip="RC0603FR-074K7L" display="https://www.lcsc.com/product-detail/C99782.html" xr:uid="{880355A7-6CBA-46BB-AACD-0B015873AA54}"/>
    <hyperlink ref="J55" r:id="rId138" tooltip="C99782" display="https://www.lcsc.com/product-detail/C99782.html" xr:uid="{BA72B991-3039-4370-908E-2D4527D01449}"/>
    <hyperlink ref="I54" r:id="rId139" tooltip="RT0603BRE0724K9L" display="https://www.lcsc.com/product-detail/C861775.html" xr:uid="{2D223D92-F316-4E0B-98FB-CF5E33D6B535}"/>
    <hyperlink ref="J54" r:id="rId140" tooltip="C861775" display="https://www.lcsc.com/product-detail/C861775.html" xr:uid="{6B34DFCF-5BD6-488D-AF83-2B261FF7E9C5}"/>
    <hyperlink ref="I53" r:id="rId141" tooltip="RT0603BRE07100KL" display="https://www.lcsc.com/product-detail/C326758.html" xr:uid="{03A89947-AD4B-4C01-A493-49857B699889}"/>
    <hyperlink ref="J53" r:id="rId142" tooltip="C326758" display="https://www.lcsc.com/product-detail/C326758.html" xr:uid="{634EC498-02C5-4CFD-8413-E8BC6F7C1216}"/>
    <hyperlink ref="I50" r:id="rId143" tooltip="RC0603FR-075K1L" display="https://www.lcsc.com/product-detail/C105580.html" xr:uid="{B6018667-263C-4652-BC53-A659F1D6B39C}"/>
    <hyperlink ref="J50" r:id="rId144" tooltip="C105580" display="https://www.lcsc.com/product-detail/C105580.html" xr:uid="{3B9268E6-9DA6-4904-9BA0-7CD6FA7A7C1C}"/>
    <hyperlink ref="I48" r:id="rId145" tooltip="RC0603FR-0747KL" display="https://www.lcsc.com/product-detail/C105579.html" xr:uid="{E29898FF-FF05-4639-9431-FEFFDC306A71}"/>
    <hyperlink ref="J48" r:id="rId146" tooltip="C105579" display="https://www.lcsc.com/product-detail/C105579.html" xr:uid="{1B3D4FBB-D093-488A-8877-8FF4B6F9F420}"/>
    <hyperlink ref="I17" r:id="rId147" tooltip="A-SP192XR5C-A01-4T" display="https://www.lcsc.com/product-detail/C19171307.html" xr:uid="{719B897F-BEC8-445E-B80C-314F75BA225A}"/>
    <hyperlink ref="J17" r:id="rId148" tooltip="C19171307" display="https://www.lcsc.com/product-detail/C19171307.html" xr:uid="{1E906219-6408-4F7E-A41F-D2B2CB6F4D32}"/>
    <hyperlink ref="I9" r:id="rId149" tooltip="RVT1J101M1010" display="https://www.lcsc.com/product-detail/C72481.html" xr:uid="{03C16C94-5DAC-4557-AB10-FE7161387627}"/>
    <hyperlink ref="J9" r:id="rId150" tooltip="C72481" display="https://www.lcsc.com/product-detail/C72481.html" xr:uid="{EF6C46D1-BB5D-456C-8515-8D2A72E8936A}"/>
    <hyperlink ref="I57" r:id="rId151" tooltip="RC0603FR-07430RL" display="https://www.lcsc.com/product-detail/C137721.html" xr:uid="{F553E206-2F29-4FCB-A6D7-AEDC3E3D2B6D}"/>
    <hyperlink ref="J57" r:id="rId152" tooltip="C137721" display="https://www.lcsc.com/product-detail/C137721.html" xr:uid="{FC1FF6B9-BE63-46F1-9B4C-BCED76854EEF}"/>
    <hyperlink ref="I60" r:id="rId153" tooltip="RC0603FR-07536RL" display="https://www.lcsc.com/product-detail/C245976.html" xr:uid="{0413127A-F2C3-4063-BFCC-9D4DFC76D466}"/>
    <hyperlink ref="J60" r:id="rId154" tooltip="C245976" display="https://www.lcsc.com/product-detail/C245976.html" xr:uid="{DD75AEF0-59DE-4417-8839-DA8D7D4751D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5030db-5b96-4a80-bef5-9bbf300e0d2e}" enabled="1" method="Standard" siteId="{9e9002aa-e50e-44b8-bb7a-021d211980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Peijnenburg</dc:creator>
  <cp:lastModifiedBy>Simon Peijnenburg</cp:lastModifiedBy>
  <dcterms:created xsi:type="dcterms:W3CDTF">2025-12-27T21:59:57Z</dcterms:created>
  <dcterms:modified xsi:type="dcterms:W3CDTF">2025-12-31T12:28:54Z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5030db-5b96-4a80-bef5-9bbf300e0d2e_Enabled">
    <vt:lpwstr>true</vt:lpwstr>
  </property>
  <property fmtid="{D5CDD505-2E9C-101B-9397-08002B2CF9AE}" pid="3" name="MSIP_Label_415030db-5b96-4a80-bef5-9bbf300e0d2e_SetDate">
    <vt:lpwstr>2025-12-28T00:13:46Z</vt:lpwstr>
  </property>
  <property fmtid="{D5CDD505-2E9C-101B-9397-08002B2CF9AE}" pid="4" name="MSIP_Label_415030db-5b96-4a80-bef5-9bbf300e0d2e_Method">
    <vt:lpwstr>Standard</vt:lpwstr>
  </property>
  <property fmtid="{D5CDD505-2E9C-101B-9397-08002B2CF9AE}" pid="5" name="MSIP_Label_415030db-5b96-4a80-bef5-9bbf300e0d2e_Name">
    <vt:lpwstr>General</vt:lpwstr>
  </property>
  <property fmtid="{D5CDD505-2E9C-101B-9397-08002B2CF9AE}" pid="6" name="MSIP_Label_415030db-5b96-4a80-bef5-9bbf300e0d2e_SiteId">
    <vt:lpwstr>9e9002aa-e50e-44b8-bb7a-021d21198024</vt:lpwstr>
  </property>
  <property fmtid="{D5CDD505-2E9C-101B-9397-08002B2CF9AE}" pid="7" name="MSIP_Label_415030db-5b96-4a80-bef5-9bbf300e0d2e_ActionId">
    <vt:lpwstr>06abd9b0-1d0e-46ab-be6a-fd4ccc24386a</vt:lpwstr>
  </property>
  <property fmtid="{D5CDD505-2E9C-101B-9397-08002B2CF9AE}" pid="8" name="MSIP_Label_415030db-5b96-4a80-bef5-9bbf300e0d2e_ContentBits">
    <vt:lpwstr>0</vt:lpwstr>
  </property>
  <property fmtid="{D5CDD505-2E9C-101B-9397-08002B2CF9AE}" pid="9" name="MSIP_Label_415030db-5b96-4a80-bef5-9bbf300e0d2e_Tag">
    <vt:lpwstr>10, 3, 0, 1</vt:lpwstr>
  </property>
</Properties>
</file>